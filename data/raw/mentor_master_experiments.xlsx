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ikas\Documents\IIT Kgp\BTP Problem Statement\"/>
    </mc:Choice>
  </mc:AlternateContent>
  <xr:revisionPtr revIDLastSave="0" documentId="13_ncr:1_{AEF14FCF-6EBA-4536-BBD6-37A90D6A4D5A}" xr6:coauthVersionLast="47" xr6:coauthVersionMax="47" xr10:uidLastSave="{00000000-0000-0000-0000-000000000000}"/>
  <bookViews>
    <workbookView xWindow="-108" yWindow="-108" windowWidth="23256" windowHeight="12456" tabRatio="652" xr2:uid="{00000000-000D-0000-FFFF-FFFF00000000}"/>
  </bookViews>
  <sheets>
    <sheet name="Final Master file" sheetId="5" r:id="rId1"/>
  </sheets>
  <definedNames>
    <definedName name="_xlnm._FilterDatabase" localSheetId="0" hidden="1">'Final Master file'!$X$1:$X$601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2" i="5"/>
  <c r="L2" i="5"/>
  <c r="BH3" i="5"/>
  <c r="BH4" i="5"/>
  <c r="BH5" i="5"/>
  <c r="BH6" i="5"/>
  <c r="BH7" i="5"/>
  <c r="BH8" i="5"/>
  <c r="BH9" i="5"/>
  <c r="BH10" i="5"/>
  <c r="BH11" i="5"/>
  <c r="BH12" i="5"/>
  <c r="BH13" i="5"/>
  <c r="BH14" i="5"/>
  <c r="BH15" i="5"/>
  <c r="BH16" i="5"/>
  <c r="BH17" i="5"/>
  <c r="BH18" i="5"/>
  <c r="BH19" i="5"/>
  <c r="BH20" i="5"/>
  <c r="BH21" i="5"/>
  <c r="BH22" i="5"/>
  <c r="BH23" i="5"/>
  <c r="BH24" i="5"/>
  <c r="BH25" i="5"/>
  <c r="BH26" i="5"/>
  <c r="BH27" i="5"/>
  <c r="BH28" i="5"/>
  <c r="BH29" i="5"/>
  <c r="BH30" i="5"/>
  <c r="BH31" i="5"/>
  <c r="BH32" i="5"/>
  <c r="BH33" i="5"/>
  <c r="BH34" i="5"/>
  <c r="BH35" i="5"/>
  <c r="BH36" i="5"/>
  <c r="BH37" i="5"/>
  <c r="BH38" i="5"/>
  <c r="BH39" i="5"/>
  <c r="BH40" i="5"/>
  <c r="BH41" i="5"/>
  <c r="BH42" i="5"/>
  <c r="BH43" i="5"/>
  <c r="BH44" i="5"/>
  <c r="BH45" i="5"/>
  <c r="BH46" i="5"/>
  <c r="BH47" i="5"/>
  <c r="BH48" i="5"/>
  <c r="BH49" i="5"/>
  <c r="BH50" i="5"/>
  <c r="BH51" i="5"/>
  <c r="BH52" i="5"/>
  <c r="BH53" i="5"/>
  <c r="BH54" i="5"/>
  <c r="BH55" i="5"/>
  <c r="BH56" i="5"/>
  <c r="BH2" i="5"/>
  <c r="DH3" i="5" l="1"/>
  <c r="DH4" i="5"/>
  <c r="DH5" i="5"/>
  <c r="DH6" i="5"/>
  <c r="DH7" i="5"/>
  <c r="DH8" i="5"/>
  <c r="DH9" i="5"/>
  <c r="DH10" i="5"/>
  <c r="DH11" i="5"/>
  <c r="DH12" i="5"/>
  <c r="DH13" i="5"/>
  <c r="DH14" i="5"/>
  <c r="DH15" i="5"/>
  <c r="DH16" i="5"/>
  <c r="DH17" i="5"/>
  <c r="DH18" i="5"/>
  <c r="DH19" i="5"/>
  <c r="DH20" i="5"/>
  <c r="DH21" i="5"/>
  <c r="DH22" i="5"/>
  <c r="DH23" i="5"/>
  <c r="DH24" i="5"/>
  <c r="DH25" i="5"/>
  <c r="DH26" i="5"/>
  <c r="DH27" i="5"/>
  <c r="DH28" i="5"/>
  <c r="DH29" i="5"/>
  <c r="DH30" i="5"/>
  <c r="DH31" i="5"/>
  <c r="DH32" i="5"/>
  <c r="DH33" i="5"/>
  <c r="DH34" i="5"/>
  <c r="DH35" i="5"/>
  <c r="DH36" i="5"/>
  <c r="DH37" i="5"/>
  <c r="DH38" i="5"/>
  <c r="DH39" i="5"/>
  <c r="DH40" i="5"/>
  <c r="DH41" i="5"/>
  <c r="DH42" i="5"/>
  <c r="DH43" i="5"/>
  <c r="DH44" i="5"/>
  <c r="DH45" i="5"/>
  <c r="DH46" i="5"/>
  <c r="DH47" i="5"/>
  <c r="DH48" i="5"/>
  <c r="DH49" i="5"/>
  <c r="DH50" i="5"/>
  <c r="DH51" i="5"/>
  <c r="DH52" i="5"/>
  <c r="DH53" i="5"/>
  <c r="DH54" i="5"/>
  <c r="DH55" i="5"/>
  <c r="DH56" i="5"/>
  <c r="DH2" i="5"/>
  <c r="CL3" i="5"/>
  <c r="CL4" i="5"/>
  <c r="CL5" i="5"/>
  <c r="CL6" i="5"/>
  <c r="CL7" i="5"/>
  <c r="CL8" i="5"/>
  <c r="CL9" i="5"/>
  <c r="CL10" i="5"/>
  <c r="CL11" i="5"/>
  <c r="CL12" i="5"/>
  <c r="CL13" i="5"/>
  <c r="CL14" i="5"/>
  <c r="CL15" i="5"/>
  <c r="CL16" i="5"/>
  <c r="CL17" i="5"/>
  <c r="CL18" i="5"/>
  <c r="CL19" i="5"/>
  <c r="CL20" i="5"/>
  <c r="CL21" i="5"/>
  <c r="CL22" i="5"/>
  <c r="CL23" i="5"/>
  <c r="CL24" i="5"/>
  <c r="CL25" i="5"/>
  <c r="CL26" i="5"/>
  <c r="CL27" i="5"/>
  <c r="CL28" i="5"/>
  <c r="CL29" i="5"/>
  <c r="CL30" i="5"/>
  <c r="CL31" i="5"/>
  <c r="CL32" i="5"/>
  <c r="CL33" i="5"/>
  <c r="CL34" i="5"/>
  <c r="CL35" i="5"/>
  <c r="CL36" i="5"/>
  <c r="CL37" i="5"/>
  <c r="CL38" i="5"/>
  <c r="CL39" i="5"/>
  <c r="CL40" i="5"/>
  <c r="CL41" i="5"/>
  <c r="CL42" i="5"/>
  <c r="CL43" i="5"/>
  <c r="CL44" i="5"/>
  <c r="CL45" i="5"/>
  <c r="CL46" i="5"/>
  <c r="CL47" i="5"/>
  <c r="CL48" i="5"/>
  <c r="CL49" i="5"/>
  <c r="CL50" i="5"/>
  <c r="CL51" i="5"/>
  <c r="CL52" i="5"/>
  <c r="CL53" i="5"/>
  <c r="CL54" i="5"/>
  <c r="CL55" i="5"/>
  <c r="CL56" i="5"/>
  <c r="CL2" i="5"/>
  <c r="CJ5" i="5"/>
  <c r="CK5" i="5" s="1"/>
  <c r="CJ6" i="5"/>
  <c r="CK6" i="5" s="1"/>
  <c r="CJ7" i="5"/>
  <c r="CK7" i="5" s="1"/>
  <c r="CJ8" i="5"/>
  <c r="CK8" i="5" s="1"/>
  <c r="CJ9" i="5"/>
  <c r="CK9" i="5" s="1"/>
  <c r="CJ10" i="5"/>
  <c r="CK10" i="5" s="1"/>
  <c r="CJ11" i="5"/>
  <c r="CK11" i="5" s="1"/>
  <c r="CJ12" i="5"/>
  <c r="CK12" i="5" s="1"/>
  <c r="CJ13" i="5"/>
  <c r="CK13" i="5" s="1"/>
  <c r="CJ14" i="5"/>
  <c r="CK14" i="5" s="1"/>
  <c r="CJ15" i="5"/>
  <c r="CK15" i="5" s="1"/>
  <c r="CJ16" i="5"/>
  <c r="CK16" i="5" s="1"/>
  <c r="CJ17" i="5"/>
  <c r="CK17" i="5" s="1"/>
  <c r="CJ18" i="5"/>
  <c r="CK18" i="5" s="1"/>
  <c r="CJ19" i="5"/>
  <c r="CK19" i="5" s="1"/>
  <c r="CJ20" i="5"/>
  <c r="CK20" i="5" s="1"/>
  <c r="CJ21" i="5"/>
  <c r="CK21" i="5" s="1"/>
  <c r="CJ22" i="5"/>
  <c r="CK22" i="5" s="1"/>
  <c r="CJ23" i="5"/>
  <c r="CK23" i="5" s="1"/>
  <c r="CJ24" i="5"/>
  <c r="CK24" i="5" s="1"/>
  <c r="CJ25" i="5"/>
  <c r="CK25" i="5" s="1"/>
  <c r="CJ26" i="5"/>
  <c r="CK26" i="5" s="1"/>
  <c r="CJ27" i="5"/>
  <c r="CK27" i="5" s="1"/>
  <c r="CJ28" i="5"/>
  <c r="CK28" i="5" s="1"/>
  <c r="CJ29" i="5"/>
  <c r="CK29" i="5" s="1"/>
  <c r="CJ30" i="5"/>
  <c r="CK30" i="5" s="1"/>
  <c r="CJ31" i="5"/>
  <c r="CK31" i="5" s="1"/>
  <c r="CJ32" i="5"/>
  <c r="CK32" i="5" s="1"/>
  <c r="CJ33" i="5"/>
  <c r="CK33" i="5" s="1"/>
  <c r="CJ34" i="5"/>
  <c r="CK34" i="5" s="1"/>
  <c r="CJ35" i="5"/>
  <c r="CK35" i="5" s="1"/>
  <c r="CJ36" i="5"/>
  <c r="CK36" i="5" s="1"/>
  <c r="CJ37" i="5"/>
  <c r="CK37" i="5" s="1"/>
  <c r="CJ38" i="5"/>
  <c r="CK38" i="5" s="1"/>
  <c r="CJ39" i="5"/>
  <c r="CK39" i="5" s="1"/>
  <c r="CJ40" i="5"/>
  <c r="CK40" i="5" s="1"/>
  <c r="CJ41" i="5"/>
  <c r="CK41" i="5" s="1"/>
  <c r="CJ42" i="5"/>
  <c r="CK42" i="5" s="1"/>
  <c r="CJ43" i="5"/>
  <c r="CK43" i="5" s="1"/>
  <c r="CJ44" i="5"/>
  <c r="CK44" i="5" s="1"/>
  <c r="CJ45" i="5"/>
  <c r="CK45" i="5" s="1"/>
  <c r="CJ46" i="5"/>
  <c r="CK46" i="5" s="1"/>
  <c r="CJ47" i="5"/>
  <c r="CK47" i="5" s="1"/>
  <c r="CJ48" i="5"/>
  <c r="CK48" i="5" s="1"/>
  <c r="CJ49" i="5"/>
  <c r="CK49" i="5" s="1"/>
  <c r="CJ50" i="5"/>
  <c r="CK50" i="5" s="1"/>
  <c r="CJ51" i="5"/>
  <c r="CK51" i="5" s="1"/>
  <c r="CJ52" i="5"/>
  <c r="CK52" i="5" s="1"/>
  <c r="CJ53" i="5"/>
  <c r="CK53" i="5" s="1"/>
  <c r="CJ54" i="5"/>
  <c r="CK54" i="5" s="1"/>
  <c r="CJ55" i="5"/>
  <c r="CK55" i="5" s="1"/>
  <c r="CJ56" i="5"/>
  <c r="CK56" i="5" s="1"/>
  <c r="CJ3" i="5"/>
  <c r="CK3" i="5" s="1"/>
  <c r="CJ4" i="5"/>
  <c r="CK4" i="5" s="1"/>
  <c r="CJ2" i="5"/>
  <c r="CK2" i="5" s="1"/>
  <c r="AQ24" i="5" l="1"/>
  <c r="BE24" i="5" s="1"/>
  <c r="AQ25" i="5"/>
  <c r="BE25" i="5" s="1"/>
  <c r="AQ26" i="5"/>
  <c r="BE26" i="5" s="1"/>
  <c r="AQ27" i="5"/>
  <c r="BE27" i="5" s="1"/>
  <c r="AQ28" i="5"/>
  <c r="BE28" i="5" s="1"/>
  <c r="AQ29" i="5"/>
  <c r="BE29" i="5" s="1"/>
  <c r="AQ30" i="5"/>
  <c r="BE30" i="5" s="1"/>
  <c r="AQ31" i="5"/>
  <c r="BE31" i="5" s="1"/>
  <c r="AQ32" i="5"/>
  <c r="BE32" i="5" s="1"/>
  <c r="AQ33" i="5"/>
  <c r="BE33" i="5" s="1"/>
  <c r="AQ34" i="5"/>
  <c r="BE34" i="5" s="1"/>
  <c r="AQ35" i="5"/>
  <c r="BE35" i="5" s="1"/>
  <c r="AQ36" i="5"/>
  <c r="BE36" i="5" s="1"/>
  <c r="AQ37" i="5"/>
  <c r="BE37" i="5" s="1"/>
  <c r="AQ38" i="5"/>
  <c r="BE38" i="5" s="1"/>
  <c r="AQ39" i="5"/>
  <c r="BE39" i="5" s="1"/>
  <c r="AQ40" i="5"/>
  <c r="BE40" i="5" s="1"/>
  <c r="AQ41" i="5"/>
  <c r="BE41" i="5" s="1"/>
  <c r="AQ42" i="5"/>
  <c r="BE42" i="5" s="1"/>
  <c r="AQ43" i="5"/>
  <c r="BE43" i="5" s="1"/>
  <c r="AQ44" i="5"/>
  <c r="BE44" i="5" s="1"/>
  <c r="AQ45" i="5"/>
  <c r="BE45" i="5" s="1"/>
  <c r="AQ46" i="5"/>
  <c r="BE46" i="5" s="1"/>
  <c r="AQ47" i="5"/>
  <c r="BE47" i="5" s="1"/>
  <c r="AQ48" i="5"/>
  <c r="BE48" i="5" s="1"/>
  <c r="AQ49" i="5"/>
  <c r="BE49" i="5" s="1"/>
  <c r="AQ50" i="5"/>
  <c r="BE50" i="5" s="1"/>
  <c r="AQ51" i="5"/>
  <c r="BE51" i="5" s="1"/>
  <c r="AQ52" i="5"/>
  <c r="BE52" i="5" s="1"/>
  <c r="AQ53" i="5"/>
  <c r="BE53" i="5" s="1"/>
  <c r="AQ54" i="5"/>
  <c r="BE54" i="5" s="1"/>
  <c r="AQ55" i="5"/>
  <c r="BE55" i="5" s="1"/>
  <c r="AQ56" i="5"/>
  <c r="BE56" i="5" s="1"/>
  <c r="AS56" i="5" l="1"/>
  <c r="AJ56" i="5"/>
  <c r="AI56" i="5"/>
  <c r="AE56" i="5"/>
  <c r="AD56" i="5"/>
  <c r="X56" i="5"/>
  <c r="AR56" i="5" s="1"/>
  <c r="P56" i="5"/>
  <c r="O56" i="5"/>
  <c r="L56" i="5"/>
  <c r="I56" i="5"/>
  <c r="N56" i="5" s="1"/>
  <c r="AS55" i="5"/>
  <c r="AJ55" i="5"/>
  <c r="AI55" i="5"/>
  <c r="AE55" i="5"/>
  <c r="AD55" i="5"/>
  <c r="X55" i="5"/>
  <c r="AP55" i="5" s="1"/>
  <c r="P55" i="5"/>
  <c r="O55" i="5"/>
  <c r="L55" i="5"/>
  <c r="I55" i="5"/>
  <c r="AS54" i="5"/>
  <c r="AJ54" i="5"/>
  <c r="AI54" i="5"/>
  <c r="AE54" i="5"/>
  <c r="AD54" i="5"/>
  <c r="X54" i="5"/>
  <c r="AP54" i="5" s="1"/>
  <c r="P54" i="5"/>
  <c r="O54" i="5"/>
  <c r="L54" i="5"/>
  <c r="I54" i="5"/>
  <c r="K54" i="5" s="1"/>
  <c r="AS53" i="5"/>
  <c r="AJ53" i="5"/>
  <c r="AI53" i="5"/>
  <c r="AE53" i="5"/>
  <c r="AD53" i="5"/>
  <c r="X53" i="5"/>
  <c r="AO53" i="5" s="1"/>
  <c r="P53" i="5"/>
  <c r="O53" i="5"/>
  <c r="L53" i="5"/>
  <c r="I53" i="5"/>
  <c r="AS52" i="5"/>
  <c r="AJ52" i="5"/>
  <c r="AI52" i="5"/>
  <c r="AE52" i="5"/>
  <c r="AD52" i="5"/>
  <c r="X52" i="5"/>
  <c r="AA52" i="5" s="1"/>
  <c r="P52" i="5"/>
  <c r="O52" i="5"/>
  <c r="N52" i="5"/>
  <c r="L52" i="5"/>
  <c r="K52" i="5"/>
  <c r="AS51" i="5"/>
  <c r="AJ51" i="5"/>
  <c r="AI51" i="5"/>
  <c r="AE51" i="5"/>
  <c r="AD51" i="5"/>
  <c r="X51" i="5"/>
  <c r="AR51" i="5" s="1"/>
  <c r="P51" i="5"/>
  <c r="O51" i="5"/>
  <c r="N51" i="5"/>
  <c r="L51" i="5"/>
  <c r="K51" i="5"/>
  <c r="AS50" i="5"/>
  <c r="AJ50" i="5"/>
  <c r="AI50" i="5"/>
  <c r="AE50" i="5"/>
  <c r="AD50" i="5"/>
  <c r="X50" i="5"/>
  <c r="AA50" i="5" s="1"/>
  <c r="P50" i="5"/>
  <c r="O50" i="5"/>
  <c r="N50" i="5"/>
  <c r="L50" i="5"/>
  <c r="K50" i="5"/>
  <c r="AS49" i="5"/>
  <c r="AJ49" i="5"/>
  <c r="AI49" i="5"/>
  <c r="AE49" i="5"/>
  <c r="AD49" i="5"/>
  <c r="X49" i="5"/>
  <c r="AB49" i="5" s="1"/>
  <c r="P49" i="5"/>
  <c r="O49" i="5"/>
  <c r="N49" i="5"/>
  <c r="L49" i="5"/>
  <c r="K49" i="5"/>
  <c r="AS48" i="5"/>
  <c r="AJ48" i="5"/>
  <c r="AI48" i="5"/>
  <c r="AE48" i="5"/>
  <c r="AD48" i="5"/>
  <c r="X48" i="5"/>
  <c r="AA48" i="5" s="1"/>
  <c r="P48" i="5"/>
  <c r="O48" i="5"/>
  <c r="N48" i="5"/>
  <c r="L48" i="5"/>
  <c r="K48" i="5"/>
  <c r="AS47" i="5"/>
  <c r="AJ47" i="5"/>
  <c r="AI47" i="5"/>
  <c r="AE47" i="5"/>
  <c r="AD47" i="5"/>
  <c r="X47" i="5"/>
  <c r="Z47" i="5" s="1"/>
  <c r="P47" i="5"/>
  <c r="O47" i="5"/>
  <c r="N47" i="5"/>
  <c r="L47" i="5"/>
  <c r="K47" i="5"/>
  <c r="AS46" i="5"/>
  <c r="AJ46" i="5"/>
  <c r="AI46" i="5"/>
  <c r="AE46" i="5"/>
  <c r="AD46" i="5"/>
  <c r="X46" i="5"/>
  <c r="AR46" i="5" s="1"/>
  <c r="P46" i="5"/>
  <c r="O46" i="5"/>
  <c r="N46" i="5"/>
  <c r="L46" i="5"/>
  <c r="K46" i="5"/>
  <c r="AS45" i="5"/>
  <c r="AJ45" i="5"/>
  <c r="AI45" i="5"/>
  <c r="AE45" i="5"/>
  <c r="AD45" i="5"/>
  <c r="X45" i="5"/>
  <c r="AP45" i="5" s="1"/>
  <c r="P45" i="5"/>
  <c r="O45" i="5"/>
  <c r="N45" i="5"/>
  <c r="L45" i="5"/>
  <c r="K45" i="5"/>
  <c r="AS44" i="5"/>
  <c r="AJ44" i="5"/>
  <c r="AI44" i="5"/>
  <c r="AE44" i="5"/>
  <c r="AD44" i="5"/>
  <c r="X44" i="5"/>
  <c r="AO44" i="5" s="1"/>
  <c r="P44" i="5"/>
  <c r="O44" i="5"/>
  <c r="N44" i="5"/>
  <c r="L44" i="5"/>
  <c r="K44" i="5"/>
  <c r="AS43" i="5"/>
  <c r="AJ43" i="5"/>
  <c r="AI43" i="5"/>
  <c r="AE43" i="5"/>
  <c r="AD43" i="5"/>
  <c r="X43" i="5"/>
  <c r="AR43" i="5" s="1"/>
  <c r="P43" i="5"/>
  <c r="O43" i="5"/>
  <c r="N43" i="5"/>
  <c r="L43" i="5"/>
  <c r="K43" i="5"/>
  <c r="AS42" i="5"/>
  <c r="AJ42" i="5"/>
  <c r="AI42" i="5"/>
  <c r="AE42" i="5"/>
  <c r="AD42" i="5"/>
  <c r="X42" i="5"/>
  <c r="AB42" i="5" s="1"/>
  <c r="P42" i="5"/>
  <c r="O42" i="5"/>
  <c r="N42" i="5"/>
  <c r="L42" i="5"/>
  <c r="K42" i="5"/>
  <c r="AS41" i="5"/>
  <c r="AJ41" i="5"/>
  <c r="AI41" i="5"/>
  <c r="AE41" i="5"/>
  <c r="AD41" i="5"/>
  <c r="X41" i="5"/>
  <c r="AR41" i="5" s="1"/>
  <c r="P41" i="5"/>
  <c r="O41" i="5"/>
  <c r="N41" i="5"/>
  <c r="L41" i="5"/>
  <c r="K41" i="5"/>
  <c r="AS40" i="5"/>
  <c r="AJ40" i="5"/>
  <c r="AI40" i="5"/>
  <c r="AE40" i="5"/>
  <c r="AD40" i="5"/>
  <c r="X40" i="5"/>
  <c r="AO40" i="5" s="1"/>
  <c r="P40" i="5"/>
  <c r="O40" i="5"/>
  <c r="L40" i="5"/>
  <c r="AS39" i="5"/>
  <c r="AJ39" i="5"/>
  <c r="AI39" i="5"/>
  <c r="AE39" i="5"/>
  <c r="AD39" i="5"/>
  <c r="X39" i="5"/>
  <c r="AP39" i="5" s="1"/>
  <c r="P39" i="5"/>
  <c r="O39" i="5"/>
  <c r="L39" i="5"/>
  <c r="AS38" i="5"/>
  <c r="AJ38" i="5"/>
  <c r="AI38" i="5"/>
  <c r="AE38" i="5"/>
  <c r="AD38" i="5"/>
  <c r="X38" i="5"/>
  <c r="AP38" i="5" s="1"/>
  <c r="P38" i="5"/>
  <c r="O38" i="5"/>
  <c r="N38" i="5"/>
  <c r="L38" i="5"/>
  <c r="K38" i="5"/>
  <c r="AS37" i="5"/>
  <c r="AJ37" i="5"/>
  <c r="AI37" i="5"/>
  <c r="AE37" i="5"/>
  <c r="AD37" i="5"/>
  <c r="X37" i="5"/>
  <c r="AB37" i="5" s="1"/>
  <c r="P37" i="5"/>
  <c r="O37" i="5"/>
  <c r="L37" i="5"/>
  <c r="AS36" i="5"/>
  <c r="AJ36" i="5"/>
  <c r="AI36" i="5"/>
  <c r="AE36" i="5"/>
  <c r="AD36" i="5"/>
  <c r="X36" i="5"/>
  <c r="Z36" i="5" s="1"/>
  <c r="P36" i="5"/>
  <c r="O36" i="5"/>
  <c r="N36" i="5"/>
  <c r="L36" i="5"/>
  <c r="K36" i="5"/>
  <c r="AS35" i="5"/>
  <c r="AJ35" i="5"/>
  <c r="AI35" i="5"/>
  <c r="AE35" i="5"/>
  <c r="AD35" i="5"/>
  <c r="X35" i="5"/>
  <c r="Z35" i="5" s="1"/>
  <c r="P35" i="5"/>
  <c r="O35" i="5"/>
  <c r="L35" i="5"/>
  <c r="AS34" i="5"/>
  <c r="AJ34" i="5"/>
  <c r="AI34" i="5"/>
  <c r="AE34" i="5"/>
  <c r="AD34" i="5"/>
  <c r="X34" i="5"/>
  <c r="Z34" i="5" s="1"/>
  <c r="P34" i="5"/>
  <c r="O34" i="5"/>
  <c r="L34" i="5"/>
  <c r="AS33" i="5"/>
  <c r="AJ33" i="5"/>
  <c r="AI33" i="5"/>
  <c r="AE33" i="5"/>
  <c r="AD33" i="5"/>
  <c r="X33" i="5"/>
  <c r="AB33" i="5" s="1"/>
  <c r="P33" i="5"/>
  <c r="O33" i="5"/>
  <c r="N33" i="5"/>
  <c r="L33" i="5"/>
  <c r="K33" i="5"/>
  <c r="J34" i="5" s="1"/>
  <c r="AS32" i="5"/>
  <c r="AJ32" i="5"/>
  <c r="AI32" i="5"/>
  <c r="AE32" i="5"/>
  <c r="AD32" i="5"/>
  <c r="X32" i="5"/>
  <c r="AB32" i="5" s="1"/>
  <c r="P32" i="5"/>
  <c r="O32" i="5"/>
  <c r="N32" i="5"/>
  <c r="L32" i="5"/>
  <c r="K32" i="5"/>
  <c r="AS31" i="5"/>
  <c r="AJ31" i="5"/>
  <c r="AI31" i="5"/>
  <c r="AE31" i="5"/>
  <c r="AD31" i="5"/>
  <c r="X31" i="5"/>
  <c r="AR31" i="5" s="1"/>
  <c r="P31" i="5"/>
  <c r="O31" i="5"/>
  <c r="N31" i="5"/>
  <c r="L31" i="5"/>
  <c r="K31" i="5"/>
  <c r="AS30" i="5"/>
  <c r="AJ30" i="5"/>
  <c r="AI30" i="5"/>
  <c r="AE30" i="5"/>
  <c r="AD30" i="5"/>
  <c r="X30" i="5"/>
  <c r="AA30" i="5" s="1"/>
  <c r="P30" i="5"/>
  <c r="O30" i="5"/>
  <c r="N30" i="5"/>
  <c r="K30" i="5"/>
  <c r="L30" i="5"/>
  <c r="AS29" i="5"/>
  <c r="AJ29" i="5"/>
  <c r="AI29" i="5"/>
  <c r="AE29" i="5"/>
  <c r="AD29" i="5"/>
  <c r="X29" i="5"/>
  <c r="AR29" i="5" s="1"/>
  <c r="P29" i="5"/>
  <c r="O29" i="5"/>
  <c r="N29" i="5"/>
  <c r="L29" i="5"/>
  <c r="K29" i="5"/>
  <c r="AS28" i="5"/>
  <c r="AJ28" i="5"/>
  <c r="AI28" i="5"/>
  <c r="AE28" i="5"/>
  <c r="AD28" i="5"/>
  <c r="X28" i="5"/>
  <c r="AR28" i="5" s="1"/>
  <c r="P28" i="5"/>
  <c r="O28" i="5"/>
  <c r="N28" i="5"/>
  <c r="K28" i="5"/>
  <c r="L28" i="5"/>
  <c r="AS27" i="5"/>
  <c r="AJ27" i="5"/>
  <c r="AI27" i="5"/>
  <c r="AE27" i="5"/>
  <c r="AD27" i="5"/>
  <c r="X27" i="5"/>
  <c r="AP27" i="5" s="1"/>
  <c r="P27" i="5"/>
  <c r="O27" i="5"/>
  <c r="N27" i="5"/>
  <c r="K27" i="5"/>
  <c r="L27" i="5"/>
  <c r="AS26" i="5"/>
  <c r="AJ26" i="5"/>
  <c r="AI26" i="5"/>
  <c r="AE26" i="5"/>
  <c r="AD26" i="5"/>
  <c r="X26" i="5"/>
  <c r="AP26" i="5" s="1"/>
  <c r="P26" i="5"/>
  <c r="O26" i="5"/>
  <c r="N26" i="5"/>
  <c r="L26" i="5"/>
  <c r="K26" i="5"/>
  <c r="AS25" i="5"/>
  <c r="AJ25" i="5"/>
  <c r="AI25" i="5"/>
  <c r="AE25" i="5"/>
  <c r="AD25" i="5"/>
  <c r="X25" i="5"/>
  <c r="AP25" i="5" s="1"/>
  <c r="P25" i="5"/>
  <c r="O25" i="5"/>
  <c r="N25" i="5"/>
  <c r="K25" i="5"/>
  <c r="AS24" i="5"/>
  <c r="AJ24" i="5"/>
  <c r="AI24" i="5"/>
  <c r="AE24" i="5"/>
  <c r="AD24" i="5"/>
  <c r="X24" i="5"/>
  <c r="AO24" i="5" s="1"/>
  <c r="P24" i="5"/>
  <c r="O24" i="5"/>
  <c r="N24" i="5"/>
  <c r="K24" i="5"/>
  <c r="L24" i="5"/>
  <c r="AS23" i="5"/>
  <c r="AJ23" i="5"/>
  <c r="AI23" i="5"/>
  <c r="AE23" i="5"/>
  <c r="AD23" i="5"/>
  <c r="X23" i="5"/>
  <c r="AO23" i="5" s="1"/>
  <c r="P23" i="5"/>
  <c r="O23" i="5"/>
  <c r="N23" i="5"/>
  <c r="K23" i="5"/>
  <c r="AQ23" i="5"/>
  <c r="BE23" i="5" s="1"/>
  <c r="AS22" i="5"/>
  <c r="AJ22" i="5"/>
  <c r="AI22" i="5"/>
  <c r="AE22" i="5"/>
  <c r="AD22" i="5"/>
  <c r="X22" i="5"/>
  <c r="AP22" i="5" s="1"/>
  <c r="P22" i="5"/>
  <c r="O22" i="5"/>
  <c r="N22" i="5"/>
  <c r="K22" i="5"/>
  <c r="AQ22" i="5"/>
  <c r="BE22" i="5" s="1"/>
  <c r="AS21" i="5"/>
  <c r="AJ21" i="5"/>
  <c r="AI21" i="5"/>
  <c r="AE21" i="5"/>
  <c r="AD21" i="5"/>
  <c r="X21" i="5"/>
  <c r="AO21" i="5" s="1"/>
  <c r="P21" i="5"/>
  <c r="O21" i="5"/>
  <c r="N21" i="5"/>
  <c r="K21" i="5"/>
  <c r="L21" i="5"/>
  <c r="AS20" i="5"/>
  <c r="AJ20" i="5"/>
  <c r="AI20" i="5"/>
  <c r="AE20" i="5"/>
  <c r="AD20" i="5"/>
  <c r="X20" i="5"/>
  <c r="AA20" i="5" s="1"/>
  <c r="P20" i="5"/>
  <c r="O20" i="5"/>
  <c r="N20" i="5"/>
  <c r="K20" i="5"/>
  <c r="L20" i="5"/>
  <c r="AS19" i="5"/>
  <c r="AJ19" i="5"/>
  <c r="AI19" i="5"/>
  <c r="AE19" i="5"/>
  <c r="AD19" i="5"/>
  <c r="X19" i="5"/>
  <c r="AB19" i="5" s="1"/>
  <c r="P19" i="5"/>
  <c r="O19" i="5"/>
  <c r="N19" i="5"/>
  <c r="K19" i="5"/>
  <c r="L19" i="5"/>
  <c r="AS18" i="5"/>
  <c r="AJ18" i="5"/>
  <c r="AI18" i="5"/>
  <c r="AE18" i="5"/>
  <c r="AD18" i="5"/>
  <c r="X18" i="5"/>
  <c r="AR18" i="5" s="1"/>
  <c r="P18" i="5"/>
  <c r="O18" i="5"/>
  <c r="N18" i="5"/>
  <c r="K18" i="5"/>
  <c r="L18" i="5"/>
  <c r="AS17" i="5"/>
  <c r="AJ17" i="5"/>
  <c r="AI17" i="5"/>
  <c r="AE17" i="5"/>
  <c r="AD17" i="5"/>
  <c r="X17" i="5"/>
  <c r="Z17" i="5" s="1"/>
  <c r="P17" i="5"/>
  <c r="O17" i="5"/>
  <c r="N17" i="5"/>
  <c r="K17" i="5"/>
  <c r="AQ17" i="5"/>
  <c r="BE17" i="5" s="1"/>
  <c r="AS16" i="5"/>
  <c r="AJ16" i="5"/>
  <c r="AI16" i="5"/>
  <c r="AE16" i="5"/>
  <c r="AD16" i="5"/>
  <c r="X16" i="5"/>
  <c r="AB16" i="5" s="1"/>
  <c r="P16" i="5"/>
  <c r="O16" i="5"/>
  <c r="N16" i="5"/>
  <c r="K16" i="5"/>
  <c r="L16" i="5"/>
  <c r="AS15" i="5"/>
  <c r="AJ15" i="5"/>
  <c r="AI15" i="5"/>
  <c r="AE15" i="5"/>
  <c r="AD15" i="5"/>
  <c r="X15" i="5"/>
  <c r="AB15" i="5" s="1"/>
  <c r="P15" i="5"/>
  <c r="O15" i="5"/>
  <c r="N15" i="5"/>
  <c r="K15" i="5"/>
  <c r="AQ15" i="5"/>
  <c r="BE15" i="5" s="1"/>
  <c r="AS14" i="5"/>
  <c r="AQ14" i="5"/>
  <c r="BE14" i="5" s="1"/>
  <c r="AJ14" i="5"/>
  <c r="AI14" i="5"/>
  <c r="AE14" i="5"/>
  <c r="AD14" i="5"/>
  <c r="X14" i="5"/>
  <c r="AB14" i="5" s="1"/>
  <c r="P14" i="5"/>
  <c r="O14" i="5"/>
  <c r="N14" i="5"/>
  <c r="L14" i="5"/>
  <c r="K14" i="5"/>
  <c r="AS13" i="5"/>
  <c r="AQ13" i="5"/>
  <c r="BE13" i="5" s="1"/>
  <c r="AJ13" i="5"/>
  <c r="AI13" i="5"/>
  <c r="AE13" i="5"/>
  <c r="AD13" i="5"/>
  <c r="X13" i="5"/>
  <c r="AA13" i="5" s="1"/>
  <c r="P13" i="5"/>
  <c r="O13" i="5"/>
  <c r="N13" i="5"/>
  <c r="K13" i="5"/>
  <c r="L13" i="5"/>
  <c r="AS12" i="5"/>
  <c r="AJ12" i="5"/>
  <c r="AI12" i="5"/>
  <c r="AE12" i="5"/>
  <c r="AD12" i="5"/>
  <c r="X12" i="5"/>
  <c r="AR12" i="5" s="1"/>
  <c r="P12" i="5"/>
  <c r="O12" i="5"/>
  <c r="N12" i="5"/>
  <c r="K12" i="5"/>
  <c r="L12" i="5"/>
  <c r="AS11" i="5"/>
  <c r="AJ11" i="5"/>
  <c r="AI11" i="5"/>
  <c r="AE11" i="5"/>
  <c r="AD11" i="5"/>
  <c r="X11" i="5"/>
  <c r="AP11" i="5" s="1"/>
  <c r="P11" i="5"/>
  <c r="O11" i="5"/>
  <c r="N11" i="5"/>
  <c r="K11" i="5"/>
  <c r="AQ11" i="5"/>
  <c r="BE11" i="5" s="1"/>
  <c r="AS10" i="5"/>
  <c r="AJ10" i="5"/>
  <c r="AI10" i="5"/>
  <c r="AE10" i="5"/>
  <c r="AD10" i="5"/>
  <c r="X10" i="5"/>
  <c r="Z10" i="5" s="1"/>
  <c r="P10" i="5"/>
  <c r="O10" i="5"/>
  <c r="N10" i="5"/>
  <c r="K10" i="5"/>
  <c r="L10" i="5"/>
  <c r="AS9" i="5"/>
  <c r="AJ9" i="5"/>
  <c r="AI9" i="5"/>
  <c r="AE9" i="5"/>
  <c r="AD9" i="5"/>
  <c r="X9" i="5"/>
  <c r="AR9" i="5" s="1"/>
  <c r="P9" i="5"/>
  <c r="O9" i="5"/>
  <c r="N9" i="5"/>
  <c r="L9" i="5"/>
  <c r="K9" i="5"/>
  <c r="AQ9" i="5"/>
  <c r="BE9" i="5" s="1"/>
  <c r="AS8" i="5"/>
  <c r="AJ8" i="5"/>
  <c r="AI8" i="5"/>
  <c r="AE8" i="5"/>
  <c r="AD8" i="5"/>
  <c r="X8" i="5"/>
  <c r="AR8" i="5" s="1"/>
  <c r="P8" i="5"/>
  <c r="O8" i="5"/>
  <c r="N8" i="5"/>
  <c r="K8" i="5"/>
  <c r="L8" i="5"/>
  <c r="AS7" i="5"/>
  <c r="AJ7" i="5"/>
  <c r="AI7" i="5"/>
  <c r="AE7" i="5"/>
  <c r="AD7" i="5"/>
  <c r="X7" i="5"/>
  <c r="AR7" i="5" s="1"/>
  <c r="P7" i="5"/>
  <c r="O7" i="5"/>
  <c r="N7" i="5"/>
  <c r="K7" i="5"/>
  <c r="L7" i="5"/>
  <c r="AS6" i="5"/>
  <c r="AQ6" i="5"/>
  <c r="BE6" i="5" s="1"/>
  <c r="AJ6" i="5"/>
  <c r="AI6" i="5"/>
  <c r="AE6" i="5"/>
  <c r="AD6" i="5"/>
  <c r="X6" i="5"/>
  <c r="AO6" i="5" s="1"/>
  <c r="P6" i="5"/>
  <c r="O6" i="5"/>
  <c r="N6" i="5"/>
  <c r="K6" i="5"/>
  <c r="L6" i="5"/>
  <c r="AS5" i="5"/>
  <c r="AJ5" i="5"/>
  <c r="AI5" i="5"/>
  <c r="AE5" i="5"/>
  <c r="AD5" i="5"/>
  <c r="X5" i="5"/>
  <c r="AR5" i="5" s="1"/>
  <c r="P5" i="5"/>
  <c r="O5" i="5"/>
  <c r="N5" i="5"/>
  <c r="K5" i="5"/>
  <c r="L5" i="5"/>
  <c r="AS4" i="5"/>
  <c r="AJ4" i="5"/>
  <c r="AI4" i="5"/>
  <c r="AE4" i="5"/>
  <c r="AD4" i="5"/>
  <c r="X4" i="5"/>
  <c r="AR4" i="5" s="1"/>
  <c r="P4" i="5"/>
  <c r="O4" i="5"/>
  <c r="N4" i="5"/>
  <c r="K4" i="5"/>
  <c r="AQ4" i="5"/>
  <c r="BE4" i="5" s="1"/>
  <c r="AS3" i="5"/>
  <c r="AQ3" i="5"/>
  <c r="BE3" i="5" s="1"/>
  <c r="AJ3" i="5"/>
  <c r="AI3" i="5"/>
  <c r="AE3" i="5"/>
  <c r="AD3" i="5"/>
  <c r="X3" i="5"/>
  <c r="AR3" i="5" s="1"/>
  <c r="P3" i="5"/>
  <c r="O3" i="5"/>
  <c r="N3" i="5"/>
  <c r="L3" i="5"/>
  <c r="K3" i="5"/>
  <c r="AS2" i="5"/>
  <c r="AJ2" i="5"/>
  <c r="AI2" i="5"/>
  <c r="AE2" i="5"/>
  <c r="AD2" i="5"/>
  <c r="X2" i="5"/>
  <c r="AP2" i="5" s="1"/>
  <c r="P2" i="5"/>
  <c r="O2" i="5"/>
  <c r="N2" i="5"/>
  <c r="K2" i="5"/>
  <c r="AQ2" i="5"/>
  <c r="BE2" i="5" s="1"/>
  <c r="BY33" i="5" l="1"/>
  <c r="BZ33" i="5"/>
  <c r="BO33" i="5"/>
  <c r="BP33" i="5" s="1"/>
  <c r="BY37" i="5"/>
  <c r="BZ37" i="5"/>
  <c r="BO37" i="5"/>
  <c r="BP37" i="5" s="1"/>
  <c r="BY49" i="5"/>
  <c r="BZ49" i="5"/>
  <c r="BY14" i="5"/>
  <c r="BZ14" i="5"/>
  <c r="BO14" i="5"/>
  <c r="BP14" i="5" s="1"/>
  <c r="BO49" i="5"/>
  <c r="BP49" i="5" s="1"/>
  <c r="BY19" i="5"/>
  <c r="BZ19" i="5"/>
  <c r="BY32" i="5"/>
  <c r="BZ32" i="5"/>
  <c r="BO32" i="5"/>
  <c r="BP32" i="5" s="1"/>
  <c r="BO19" i="5"/>
  <c r="BP19" i="5" s="1"/>
  <c r="BY42" i="5"/>
  <c r="BZ42" i="5"/>
  <c r="BZ16" i="5"/>
  <c r="BY16" i="5"/>
  <c r="BO42" i="5"/>
  <c r="BP42" i="5" s="1"/>
  <c r="BY15" i="5"/>
  <c r="BZ15" i="5"/>
  <c r="BO16" i="5"/>
  <c r="BP16" i="5" s="1"/>
  <c r="BO15" i="5"/>
  <c r="BP15" i="5" s="1"/>
  <c r="R55" i="5"/>
  <c r="S55" i="5" s="1"/>
  <c r="AK9" i="5"/>
  <c r="R41" i="5"/>
  <c r="S41" i="5" s="1"/>
  <c r="T41" i="5" s="1"/>
  <c r="U41" i="5" s="1"/>
  <c r="M16" i="5"/>
  <c r="R46" i="5"/>
  <c r="S46" i="5" s="1"/>
  <c r="T46" i="5" s="1"/>
  <c r="U46" i="5" s="1"/>
  <c r="R28" i="5"/>
  <c r="S28" i="5" s="1"/>
  <c r="T28" i="5" s="1"/>
  <c r="U28" i="5" s="1"/>
  <c r="AK54" i="5"/>
  <c r="AK52" i="5"/>
  <c r="M28" i="5"/>
  <c r="M50" i="5"/>
  <c r="AK22" i="5"/>
  <c r="N54" i="5"/>
  <c r="AK11" i="5"/>
  <c r="R19" i="5"/>
  <c r="S19" i="5" s="1"/>
  <c r="T19" i="5" s="1"/>
  <c r="U19" i="5" s="1"/>
  <c r="AK6" i="5"/>
  <c r="R7" i="5"/>
  <c r="S7" i="5" s="1"/>
  <c r="T7" i="5" s="1"/>
  <c r="U7" i="5" s="1"/>
  <c r="AK28" i="5"/>
  <c r="R24" i="5"/>
  <c r="S24" i="5" s="1"/>
  <c r="T24" i="5" s="1"/>
  <c r="U24" i="5" s="1"/>
  <c r="R48" i="5"/>
  <c r="S48" i="5" s="1"/>
  <c r="T48" i="5" s="1"/>
  <c r="U48" i="5" s="1"/>
  <c r="AK12" i="5"/>
  <c r="R17" i="5"/>
  <c r="S17" i="5" s="1"/>
  <c r="T17" i="5" s="1"/>
  <c r="U17" i="5" s="1"/>
  <c r="M13" i="5"/>
  <c r="AK42" i="5"/>
  <c r="R10" i="5"/>
  <c r="S10" i="5" s="1"/>
  <c r="T10" i="5" s="1"/>
  <c r="U10" i="5" s="1"/>
  <c r="AK17" i="5"/>
  <c r="R34" i="5"/>
  <c r="S34" i="5" s="1"/>
  <c r="R30" i="5"/>
  <c r="S30" i="5" s="1"/>
  <c r="T30" i="5" s="1"/>
  <c r="U30" i="5" s="1"/>
  <c r="M54" i="5"/>
  <c r="AB5" i="5"/>
  <c r="BO5" i="5" s="1"/>
  <c r="BP5" i="5" s="1"/>
  <c r="R32" i="5"/>
  <c r="S32" i="5" s="1"/>
  <c r="T32" i="5" s="1"/>
  <c r="U32" i="5" s="1"/>
  <c r="AK14" i="5"/>
  <c r="R38" i="5"/>
  <c r="S38" i="5" s="1"/>
  <c r="T38" i="5" s="1"/>
  <c r="U38" i="5" s="1"/>
  <c r="AK32" i="5"/>
  <c r="AK35" i="5"/>
  <c r="Z38" i="5"/>
  <c r="M43" i="5"/>
  <c r="AK45" i="5"/>
  <c r="AK38" i="5"/>
  <c r="AR38" i="5"/>
  <c r="AK50" i="5"/>
  <c r="L23" i="5"/>
  <c r="M23" i="5" s="1"/>
  <c r="M31" i="5"/>
  <c r="R33" i="5"/>
  <c r="S33" i="5" s="1"/>
  <c r="T33" i="5" s="1"/>
  <c r="U33" i="5" s="1"/>
  <c r="R39" i="5"/>
  <c r="S39" i="5" s="1"/>
  <c r="R42" i="5"/>
  <c r="S42" i="5" s="1"/>
  <c r="T42" i="5" s="1"/>
  <c r="U42" i="5" s="1"/>
  <c r="AK8" i="5"/>
  <c r="AK39" i="5"/>
  <c r="AK48" i="5"/>
  <c r="R44" i="5"/>
  <c r="S44" i="5" s="1"/>
  <c r="T44" i="5" s="1"/>
  <c r="U44" i="5" s="1"/>
  <c r="R6" i="5"/>
  <c r="S6" i="5" s="1"/>
  <c r="T6" i="5" s="1"/>
  <c r="U6" i="5" s="1"/>
  <c r="AO27" i="5"/>
  <c r="AK34" i="5"/>
  <c r="AQ18" i="5"/>
  <c r="BE18" i="5" s="1"/>
  <c r="AK21" i="5"/>
  <c r="AK30" i="5"/>
  <c r="M32" i="5"/>
  <c r="AK40" i="5"/>
  <c r="M47" i="5"/>
  <c r="R37" i="5"/>
  <c r="S37" i="5" s="1"/>
  <c r="R50" i="5"/>
  <c r="S50" i="5" s="1"/>
  <c r="T50" i="5" s="1"/>
  <c r="U50" i="5" s="1"/>
  <c r="AA40" i="5"/>
  <c r="AR24" i="5"/>
  <c r="L15" i="5"/>
  <c r="M15" i="5" s="1"/>
  <c r="R22" i="5"/>
  <c r="S22" i="5" s="1"/>
  <c r="T22" i="5" s="1"/>
  <c r="U22" i="5" s="1"/>
  <c r="M5" i="5"/>
  <c r="R8" i="5"/>
  <c r="S8" i="5" s="1"/>
  <c r="T8" i="5" s="1"/>
  <c r="U8" i="5" s="1"/>
  <c r="M10" i="5"/>
  <c r="Z22" i="5"/>
  <c r="Z28" i="5"/>
  <c r="AQ12" i="5"/>
  <c r="BE12" i="5" s="1"/>
  <c r="AK19" i="5"/>
  <c r="R35" i="5"/>
  <c r="S35" i="5" s="1"/>
  <c r="L17" i="5"/>
  <c r="M17" i="5" s="1"/>
  <c r="AO32" i="5"/>
  <c r="R45" i="5"/>
  <c r="S45" i="5" s="1"/>
  <c r="T45" i="5" s="1"/>
  <c r="U45" i="5" s="1"/>
  <c r="AP32" i="5"/>
  <c r="AR52" i="5"/>
  <c r="Z5" i="5"/>
  <c r="AK2" i="5"/>
  <c r="AA5" i="5"/>
  <c r="AK25" i="5"/>
  <c r="R47" i="5"/>
  <c r="S47" i="5" s="1"/>
  <c r="T47" i="5" s="1"/>
  <c r="U47" i="5" s="1"/>
  <c r="AR15" i="5"/>
  <c r="AR32" i="5"/>
  <c r="R29" i="5"/>
  <c r="S29" i="5" s="1"/>
  <c r="T29" i="5" s="1"/>
  <c r="U29" i="5" s="1"/>
  <c r="AK5" i="5"/>
  <c r="AK13" i="5"/>
  <c r="M49" i="5"/>
  <c r="R3" i="5"/>
  <c r="S3" i="5" s="1"/>
  <c r="T3" i="5" s="1"/>
  <c r="U3" i="5" s="1"/>
  <c r="AP13" i="5"/>
  <c r="R31" i="5"/>
  <c r="S31" i="5" s="1"/>
  <c r="T31" i="5" s="1"/>
  <c r="U31" i="5" s="1"/>
  <c r="R36" i="5"/>
  <c r="S36" i="5" s="1"/>
  <c r="T36" i="5" s="1"/>
  <c r="U36" i="5" s="1"/>
  <c r="R11" i="5"/>
  <c r="S11" i="5" s="1"/>
  <c r="T11" i="5" s="1"/>
  <c r="U11" i="5" s="1"/>
  <c r="M42" i="5"/>
  <c r="R49" i="5"/>
  <c r="S49" i="5" s="1"/>
  <c r="T49" i="5" s="1"/>
  <c r="U49" i="5" s="1"/>
  <c r="AK53" i="5"/>
  <c r="R18" i="5"/>
  <c r="S18" i="5" s="1"/>
  <c r="T18" i="5" s="1"/>
  <c r="AK31" i="5"/>
  <c r="AK36" i="5"/>
  <c r="AK56" i="5"/>
  <c r="AK49" i="5"/>
  <c r="R14" i="5"/>
  <c r="S14" i="5" s="1"/>
  <c r="T14" i="5" s="1"/>
  <c r="U14" i="5" s="1"/>
  <c r="AK27" i="5"/>
  <c r="R54" i="5"/>
  <c r="S54" i="5" s="1"/>
  <c r="AB30" i="5"/>
  <c r="BO30" i="5" s="1"/>
  <c r="BP30" i="5" s="1"/>
  <c r="R15" i="5"/>
  <c r="S15" i="5" s="1"/>
  <c r="T15" i="5" s="1"/>
  <c r="U15" i="5" s="1"/>
  <c r="AK18" i="5"/>
  <c r="R21" i="5"/>
  <c r="S21" i="5" s="1"/>
  <c r="T21" i="5" s="1"/>
  <c r="U21" i="5" s="1"/>
  <c r="R23" i="5"/>
  <c r="S23" i="5" s="1"/>
  <c r="T23" i="5" s="1"/>
  <c r="U23" i="5" s="1"/>
  <c r="AK33" i="5"/>
  <c r="R52" i="5"/>
  <c r="S52" i="5" s="1"/>
  <c r="T52" i="5" s="1"/>
  <c r="U52" i="5" s="1"/>
  <c r="Z45" i="5"/>
  <c r="Z15" i="5"/>
  <c r="Z21" i="5"/>
  <c r="AU21" i="5" s="1"/>
  <c r="Z52" i="5"/>
  <c r="Z9" i="5"/>
  <c r="AK10" i="5"/>
  <c r="AA15" i="5"/>
  <c r="AK41" i="5"/>
  <c r="AB52" i="5"/>
  <c r="AV52" i="5" s="1"/>
  <c r="BF52" i="5" s="1"/>
  <c r="R4" i="5"/>
  <c r="S4" i="5" s="1"/>
  <c r="T4" i="5" s="1"/>
  <c r="U4" i="5" s="1"/>
  <c r="AA9" i="5"/>
  <c r="R13" i="5"/>
  <c r="S13" i="5" s="1"/>
  <c r="T13" i="5" s="1"/>
  <c r="U13" i="5" s="1"/>
  <c r="AK23" i="5"/>
  <c r="AP30" i="5"/>
  <c r="R9" i="5"/>
  <c r="S9" i="5" s="1"/>
  <c r="T9" i="5" s="1"/>
  <c r="U9" i="5" s="1"/>
  <c r="AA39" i="5"/>
  <c r="R43" i="5"/>
  <c r="S43" i="5" s="1"/>
  <c r="T43" i="5" s="1"/>
  <c r="U43" i="5" s="1"/>
  <c r="AA47" i="5"/>
  <c r="AK15" i="5"/>
  <c r="AB39" i="5"/>
  <c r="BO39" i="5" s="1"/>
  <c r="BP39" i="5" s="1"/>
  <c r="L11" i="5"/>
  <c r="M11" i="5" s="1"/>
  <c r="M2" i="5"/>
  <c r="AO15" i="5"/>
  <c r="R26" i="5"/>
  <c r="S26" i="5" s="1"/>
  <c r="T26" i="5" s="1"/>
  <c r="U26" i="5" s="1"/>
  <c r="AO52" i="5"/>
  <c r="L4" i="5"/>
  <c r="M4" i="5" s="1"/>
  <c r="AK4" i="5"/>
  <c r="AP15" i="5"/>
  <c r="AK47" i="5"/>
  <c r="AP52" i="5"/>
  <c r="R2" i="5"/>
  <c r="S2" i="5" s="1"/>
  <c r="T2" i="5" s="1"/>
  <c r="U2" i="5" s="1"/>
  <c r="AO13" i="5"/>
  <c r="L22" i="5"/>
  <c r="M22" i="5" s="1"/>
  <c r="AK43" i="5"/>
  <c r="AR39" i="5"/>
  <c r="AK26" i="5"/>
  <c r="AK55" i="5"/>
  <c r="AK7" i="5"/>
  <c r="M14" i="5"/>
  <c r="AK37" i="5"/>
  <c r="AK24" i="5"/>
  <c r="R40" i="5"/>
  <c r="S40" i="5" s="1"/>
  <c r="R53" i="5"/>
  <c r="S53" i="5" s="1"/>
  <c r="R5" i="5"/>
  <c r="S5" i="5" s="1"/>
  <c r="T5" i="5" s="1"/>
  <c r="U5" i="5" s="1"/>
  <c r="AR11" i="5"/>
  <c r="R16" i="5"/>
  <c r="S16" i="5" s="1"/>
  <c r="T16" i="5" s="1"/>
  <c r="U16" i="5" s="1"/>
  <c r="M20" i="5"/>
  <c r="AA22" i="5"/>
  <c r="M27" i="5"/>
  <c r="AK46" i="5"/>
  <c r="M51" i="5"/>
  <c r="R20" i="5"/>
  <c r="S20" i="5" s="1"/>
  <c r="T20" i="5" s="1"/>
  <c r="U20" i="5" s="1"/>
  <c r="R56" i="5"/>
  <c r="S56" i="5" s="1"/>
  <c r="T56" i="5" s="1"/>
  <c r="U56" i="5" s="1"/>
  <c r="R51" i="5"/>
  <c r="S51" i="5" s="1"/>
  <c r="T51" i="5" s="1"/>
  <c r="U51" i="5" s="1"/>
  <c r="R27" i="5"/>
  <c r="S27" i="5" s="1"/>
  <c r="T27" i="5" s="1"/>
  <c r="U27" i="5" s="1"/>
  <c r="AK29" i="5"/>
  <c r="AK16" i="5"/>
  <c r="AK44" i="5"/>
  <c r="M3" i="5"/>
  <c r="AQ16" i="5"/>
  <c r="BE16" i="5" s="1"/>
  <c r="AO22" i="5"/>
  <c r="R12" i="5"/>
  <c r="S12" i="5" s="1"/>
  <c r="T12" i="5" s="1"/>
  <c r="U12" i="5" s="1"/>
  <c r="AR16" i="5"/>
  <c r="AK20" i="5"/>
  <c r="R25" i="5"/>
  <c r="S25" i="5" s="1"/>
  <c r="T25" i="5" s="1"/>
  <c r="U25" i="5" s="1"/>
  <c r="M30" i="5"/>
  <c r="AR40" i="5"/>
  <c r="AP44" i="5"/>
  <c r="AK51" i="5"/>
  <c r="AQ5" i="5"/>
  <c r="BE5" i="5" s="1"/>
  <c r="AQ20" i="5"/>
  <c r="BE20" i="5" s="1"/>
  <c r="M41" i="5"/>
  <c r="AK3" i="5"/>
  <c r="M45" i="5"/>
  <c r="M9" i="5"/>
  <c r="N34" i="5"/>
  <c r="K34" i="5"/>
  <c r="M34" i="5" s="1"/>
  <c r="AA21" i="5"/>
  <c r="AR34" i="5"/>
  <c r="AB6" i="5"/>
  <c r="AB21" i="5"/>
  <c r="M26" i="5"/>
  <c r="AO30" i="5"/>
  <c r="AR54" i="5"/>
  <c r="Z25" i="5"/>
  <c r="AP28" i="5"/>
  <c r="AA6" i="5"/>
  <c r="AB10" i="5"/>
  <c r="Z12" i="5"/>
  <c r="AA19" i="5"/>
  <c r="AB23" i="5"/>
  <c r="AA25" i="5"/>
  <c r="AR30" i="5"/>
  <c r="AR49" i="5"/>
  <c r="AA12" i="5"/>
  <c r="AP21" i="5"/>
  <c r="AB25" i="5"/>
  <c r="BO25" i="5" s="1"/>
  <c r="BP25" i="5" s="1"/>
  <c r="AO26" i="5"/>
  <c r="M33" i="5"/>
  <c r="AR21" i="5"/>
  <c r="M38" i="5"/>
  <c r="AA42" i="5"/>
  <c r="Z51" i="5"/>
  <c r="AR6" i="5"/>
  <c r="M48" i="5"/>
  <c r="AA51" i="5"/>
  <c r="M29" i="5"/>
  <c r="Z40" i="5"/>
  <c r="AU40" i="5" s="1"/>
  <c r="AB51" i="5"/>
  <c r="BO51" i="5" s="1"/>
  <c r="BP51" i="5" s="1"/>
  <c r="AB9" i="5"/>
  <c r="AP23" i="5"/>
  <c r="AR45" i="5"/>
  <c r="AO19" i="5"/>
  <c r="AR23" i="5"/>
  <c r="AO25" i="5"/>
  <c r="AB40" i="5"/>
  <c r="Z53" i="5"/>
  <c r="AU53" i="5" s="1"/>
  <c r="AO2" i="5"/>
  <c r="AB12" i="5"/>
  <c r="AO12" i="5"/>
  <c r="AO14" i="5"/>
  <c r="AR25" i="5"/>
  <c r="AO42" i="5"/>
  <c r="M44" i="5"/>
  <c r="M46" i="5"/>
  <c r="AA53" i="5"/>
  <c r="M12" i="5"/>
  <c r="AP12" i="5"/>
  <c r="AP14" i="5"/>
  <c r="M18" i="5"/>
  <c r="M24" i="5"/>
  <c r="M36" i="5"/>
  <c r="AP42" i="5"/>
  <c r="AB53" i="5"/>
  <c r="AO51" i="5"/>
  <c r="AR55" i="5"/>
  <c r="AP6" i="5"/>
  <c r="AR14" i="5"/>
  <c r="AA38" i="5"/>
  <c r="AR42" i="5"/>
  <c r="AB47" i="5"/>
  <c r="BO47" i="5" s="1"/>
  <c r="BP47" i="5" s="1"/>
  <c r="AB48" i="5"/>
  <c r="BO48" i="5" s="1"/>
  <c r="BP48" i="5" s="1"/>
  <c r="AP51" i="5"/>
  <c r="AA10" i="5"/>
  <c r="AR33" i="5"/>
  <c r="AB38" i="5"/>
  <c r="AP40" i="5"/>
  <c r="AP53" i="5"/>
  <c r="AA11" i="5"/>
  <c r="Z18" i="5"/>
  <c r="AB22" i="5"/>
  <c r="Z24" i="5"/>
  <c r="AU24" i="5" s="1"/>
  <c r="AA44" i="5"/>
  <c r="AO5" i="5"/>
  <c r="AB11" i="5"/>
  <c r="AA18" i="5"/>
  <c r="AA24" i="5"/>
  <c r="AA36" i="5"/>
  <c r="AB44" i="5"/>
  <c r="BO44" i="5" s="1"/>
  <c r="BP44" i="5" s="1"/>
  <c r="AO48" i="5"/>
  <c r="M52" i="5"/>
  <c r="AR53" i="5"/>
  <c r="Z11" i="5"/>
  <c r="AP5" i="5"/>
  <c r="AB18" i="5"/>
  <c r="BO18" i="5" s="1"/>
  <c r="BP18" i="5" s="1"/>
  <c r="AB24" i="5"/>
  <c r="AP48" i="5"/>
  <c r="AP3" i="5"/>
  <c r="AB13" i="5"/>
  <c r="BO13" i="5" s="1"/>
  <c r="BP13" i="5" s="1"/>
  <c r="AR48" i="5"/>
  <c r="AO11" i="5"/>
  <c r="AO18" i="5"/>
  <c r="AP24" i="5"/>
  <c r="Z30" i="5"/>
  <c r="AO36" i="5"/>
  <c r="AU36" i="5" s="1"/>
  <c r="AP18" i="5"/>
  <c r="AR22" i="5"/>
  <c r="AR44" i="5"/>
  <c r="M19" i="5"/>
  <c r="M7" i="5"/>
  <c r="N37" i="5"/>
  <c r="K37" i="5"/>
  <c r="M37" i="5" s="1"/>
  <c r="M8" i="5"/>
  <c r="M6" i="5"/>
  <c r="M21" i="5"/>
  <c r="AB20" i="5"/>
  <c r="AV20" i="5" s="1"/>
  <c r="BF20" i="5" s="1"/>
  <c r="AB36" i="5"/>
  <c r="BO36" i="5" s="1"/>
  <c r="BP36" i="5" s="1"/>
  <c r="AO20" i="5"/>
  <c r="AO37" i="5"/>
  <c r="AP20" i="5"/>
  <c r="AQ21" i="5"/>
  <c r="BE21" i="5" s="1"/>
  <c r="AP37" i="5"/>
  <c r="Z8" i="5"/>
  <c r="AP19" i="5"/>
  <c r="AP36" i="5"/>
  <c r="Z46" i="5"/>
  <c r="K56" i="5"/>
  <c r="M56" i="5" s="1"/>
  <c r="Z7" i="5"/>
  <c r="AO17" i="5"/>
  <c r="AU17" i="5" s="1"/>
  <c r="AQ19" i="5"/>
  <c r="BE19" i="5" s="1"/>
  <c r="AR20" i="5"/>
  <c r="Z31" i="5"/>
  <c r="AO35" i="5"/>
  <c r="AU35" i="5" s="1"/>
  <c r="AR37" i="5"/>
  <c r="AA46" i="5"/>
  <c r="AO50" i="5"/>
  <c r="K55" i="5"/>
  <c r="M55" i="5" s="1"/>
  <c r="AA8" i="5"/>
  <c r="AA7" i="5"/>
  <c r="AB8" i="5"/>
  <c r="AP17" i="5"/>
  <c r="AR19" i="5"/>
  <c r="AA31" i="5"/>
  <c r="J40" i="5"/>
  <c r="AO16" i="5"/>
  <c r="L25" i="5"/>
  <c r="M25" i="5" s="1"/>
  <c r="AB31" i="5"/>
  <c r="BO31" i="5" s="1"/>
  <c r="BP31" i="5" s="1"/>
  <c r="AO33" i="5"/>
  <c r="AP34" i="5"/>
  <c r="J39" i="5"/>
  <c r="AA45" i="5"/>
  <c r="AO49" i="5"/>
  <c r="K53" i="5"/>
  <c r="M53" i="5" s="1"/>
  <c r="AO34" i="5"/>
  <c r="AU34" i="5" s="1"/>
  <c r="AP35" i="5"/>
  <c r="AR36" i="5"/>
  <c r="AB46" i="5"/>
  <c r="BO46" i="5" s="1"/>
  <c r="BP46" i="5" s="1"/>
  <c r="AP50" i="5"/>
  <c r="AB7" i="5"/>
  <c r="BO7" i="5" s="1"/>
  <c r="BP7" i="5" s="1"/>
  <c r="Z6" i="5"/>
  <c r="AU6" i="5" s="1"/>
  <c r="AP16" i="5"/>
  <c r="AR17" i="5"/>
  <c r="AP33" i="5"/>
  <c r="AR35" i="5"/>
  <c r="Z44" i="5"/>
  <c r="AU44" i="5" s="1"/>
  <c r="AB45" i="5"/>
  <c r="BO45" i="5" s="1"/>
  <c r="BP45" i="5" s="1"/>
  <c r="AP49" i="5"/>
  <c r="AR50" i="5"/>
  <c r="N55" i="5"/>
  <c r="Z29" i="5"/>
  <c r="Z43" i="5"/>
  <c r="N53" i="5"/>
  <c r="Z3" i="5"/>
  <c r="AA29" i="5"/>
  <c r="AB4" i="5"/>
  <c r="BO4" i="5" s="1"/>
  <c r="BP4" i="5" s="1"/>
  <c r="Z27" i="5"/>
  <c r="AO10" i="5"/>
  <c r="AU10" i="5" s="1"/>
  <c r="AR13" i="5"/>
  <c r="Z26" i="5"/>
  <c r="AA27" i="5"/>
  <c r="AB28" i="5"/>
  <c r="AO47" i="5"/>
  <c r="AU47" i="5" s="1"/>
  <c r="AA2" i="5"/>
  <c r="AB3" i="5"/>
  <c r="BO3" i="5" s="1"/>
  <c r="BP3" i="5" s="1"/>
  <c r="AB2" i="5"/>
  <c r="BO2" i="5" s="1"/>
  <c r="BP2" i="5" s="1"/>
  <c r="AP10" i="5"/>
  <c r="AA26" i="5"/>
  <c r="AB27" i="5"/>
  <c r="Z42" i="5"/>
  <c r="AP47" i="5"/>
  <c r="AO9" i="5"/>
  <c r="AQ10" i="5"/>
  <c r="BE10" i="5" s="1"/>
  <c r="Z56" i="5"/>
  <c r="AA43" i="5"/>
  <c r="AB26" i="5"/>
  <c r="BO26" i="5" s="1"/>
  <c r="BP26" i="5" s="1"/>
  <c r="AO8" i="5"/>
  <c r="AP9" i="5"/>
  <c r="AR10" i="5"/>
  <c r="Z41" i="5"/>
  <c r="AO46" i="5"/>
  <c r="AR47" i="5"/>
  <c r="Z55" i="5"/>
  <c r="AA56" i="5"/>
  <c r="Z4" i="5"/>
  <c r="AA3" i="5"/>
  <c r="AA28" i="5"/>
  <c r="AB43" i="5"/>
  <c r="BO43" i="5" s="1"/>
  <c r="BP43" i="5" s="1"/>
  <c r="AO7" i="5"/>
  <c r="AP8" i="5"/>
  <c r="AO31" i="5"/>
  <c r="AA41" i="5"/>
  <c r="AP46" i="5"/>
  <c r="Z54" i="5"/>
  <c r="AA55" i="5"/>
  <c r="AB56" i="5"/>
  <c r="BO56" i="5" s="1"/>
  <c r="BP56" i="5" s="1"/>
  <c r="Z2" i="5"/>
  <c r="AB29" i="5"/>
  <c r="BO29" i="5" s="1"/>
  <c r="BP29" i="5" s="1"/>
  <c r="AQ8" i="5"/>
  <c r="BE8" i="5" s="1"/>
  <c r="AP31" i="5"/>
  <c r="AB41" i="5"/>
  <c r="BO41" i="5" s="1"/>
  <c r="BP41" i="5" s="1"/>
  <c r="AO45" i="5"/>
  <c r="AA54" i="5"/>
  <c r="AB55" i="5"/>
  <c r="BO55" i="5" s="1"/>
  <c r="BP55" i="5" s="1"/>
  <c r="AA4" i="5"/>
  <c r="AP7" i="5"/>
  <c r="AQ7" i="5"/>
  <c r="BE7" i="5" s="1"/>
  <c r="Z23" i="5"/>
  <c r="AU23" i="5" s="1"/>
  <c r="Z39" i="5"/>
  <c r="AB54" i="5"/>
  <c r="BO54" i="5" s="1"/>
  <c r="BP54" i="5" s="1"/>
  <c r="AA23" i="5"/>
  <c r="Z37" i="5"/>
  <c r="AO43" i="5"/>
  <c r="AO4" i="5"/>
  <c r="Z20" i="5"/>
  <c r="AO29" i="5"/>
  <c r="AO3" i="5"/>
  <c r="AP4" i="5"/>
  <c r="Z19" i="5"/>
  <c r="AO28" i="5"/>
  <c r="AP29" i="5"/>
  <c r="AA37" i="5"/>
  <c r="AP43" i="5"/>
  <c r="AA17" i="5"/>
  <c r="AA35" i="5"/>
  <c r="AR2" i="5"/>
  <c r="Z16" i="5"/>
  <c r="AB17" i="5"/>
  <c r="BO17" i="5" s="1"/>
  <c r="BP17" i="5" s="1"/>
  <c r="AR27" i="5"/>
  <c r="Z33" i="5"/>
  <c r="AA34" i="5"/>
  <c r="AB35" i="5"/>
  <c r="BO35" i="5" s="1"/>
  <c r="BP35" i="5" s="1"/>
  <c r="Z49" i="5"/>
  <c r="AB50" i="5"/>
  <c r="BO50" i="5" s="1"/>
  <c r="BP50" i="5" s="1"/>
  <c r="AO56" i="5"/>
  <c r="AA16" i="5"/>
  <c r="AR26" i="5"/>
  <c r="AA33" i="5"/>
  <c r="AB34" i="5"/>
  <c r="AO41" i="5"/>
  <c r="AA49" i="5"/>
  <c r="AO55" i="5"/>
  <c r="AP56" i="5"/>
  <c r="Z50" i="5"/>
  <c r="Z32" i="5"/>
  <c r="AP41" i="5"/>
  <c r="Z48" i="5"/>
  <c r="AO54" i="5"/>
  <c r="Z13" i="5"/>
  <c r="AA14" i="5"/>
  <c r="AA32" i="5"/>
  <c r="Z14" i="5"/>
  <c r="AO39" i="5"/>
  <c r="AO38" i="5"/>
  <c r="AV4" i="5" l="1"/>
  <c r="BF4" i="5" s="1"/>
  <c r="AV43" i="5"/>
  <c r="BF43" i="5" s="1"/>
  <c r="AY3" i="5"/>
  <c r="BD3" i="5" s="1"/>
  <c r="AV38" i="5"/>
  <c r="BF38" i="5" s="1"/>
  <c r="AV12" i="5"/>
  <c r="BF12" i="5" s="1"/>
  <c r="AV21" i="5"/>
  <c r="BF21" i="5" s="1"/>
  <c r="AV51" i="5"/>
  <c r="BF51" i="5" s="1"/>
  <c r="AV5" i="5"/>
  <c r="BF5" i="5" s="1"/>
  <c r="AV9" i="5"/>
  <c r="BF9" i="5" s="1"/>
  <c r="AY22" i="5"/>
  <c r="BD22" i="5" s="1"/>
  <c r="AV26" i="5"/>
  <c r="BF26" i="5" s="1"/>
  <c r="AV18" i="5"/>
  <c r="BF18" i="5" s="1"/>
  <c r="AV25" i="5"/>
  <c r="BF25" i="5" s="1"/>
  <c r="CM33" i="5"/>
  <c r="CN33" i="5" s="1"/>
  <c r="AV33" i="5"/>
  <c r="BF33" i="5" s="1"/>
  <c r="AY36" i="5"/>
  <c r="BD36" i="5" s="1"/>
  <c r="AV36" i="5"/>
  <c r="BF36" i="5" s="1"/>
  <c r="AV27" i="5"/>
  <c r="BF27" i="5" s="1"/>
  <c r="AY19" i="5"/>
  <c r="BD19" i="5" s="1"/>
  <c r="AV19" i="5"/>
  <c r="BF19" i="5" s="1"/>
  <c r="AV54" i="5"/>
  <c r="BF54" i="5" s="1"/>
  <c r="AV17" i="5"/>
  <c r="BF17" i="5" s="1"/>
  <c r="AY44" i="5"/>
  <c r="BD44" i="5" s="1"/>
  <c r="AV44" i="5"/>
  <c r="BF44" i="5" s="1"/>
  <c r="AY2" i="5"/>
  <c r="BD2" i="5" s="1"/>
  <c r="AV2" i="5"/>
  <c r="BF2" i="5" s="1"/>
  <c r="AY6" i="5"/>
  <c r="BD6" i="5" s="1"/>
  <c r="AV6" i="5"/>
  <c r="BF6" i="5" s="1"/>
  <c r="AU2" i="5"/>
  <c r="AY15" i="5"/>
  <c r="BD15" i="5" s="1"/>
  <c r="AV15" i="5"/>
  <c r="BF15" i="5" s="1"/>
  <c r="AY11" i="5"/>
  <c r="BD11" i="5" s="1"/>
  <c r="AV11" i="5"/>
  <c r="BF11" i="5" s="1"/>
  <c r="BG53" i="5"/>
  <c r="BI53" i="5"/>
  <c r="AY45" i="5"/>
  <c r="BD45" i="5" s="1"/>
  <c r="AV45" i="5"/>
  <c r="BF45" i="5" s="1"/>
  <c r="AY29" i="5"/>
  <c r="BD29" i="5" s="1"/>
  <c r="AV29" i="5"/>
  <c r="BF29" i="5" s="1"/>
  <c r="CM49" i="5"/>
  <c r="CN49" i="5" s="1"/>
  <c r="AV49" i="5"/>
  <c r="BF49" i="5" s="1"/>
  <c r="CM14" i="5"/>
  <c r="CN14" i="5" s="1"/>
  <c r="AV14" i="5"/>
  <c r="BF14" i="5" s="1"/>
  <c r="AV3" i="5"/>
  <c r="BF3" i="5" s="1"/>
  <c r="AY47" i="5"/>
  <c r="BD47" i="5" s="1"/>
  <c r="AV47" i="5"/>
  <c r="BF47" i="5" s="1"/>
  <c r="CM42" i="5"/>
  <c r="CN42" i="5" s="1"/>
  <c r="AV42" i="5"/>
  <c r="BF42" i="5" s="1"/>
  <c r="AY28" i="5"/>
  <c r="BD28" i="5" s="1"/>
  <c r="AV28" i="5"/>
  <c r="BF28" i="5" s="1"/>
  <c r="AY7" i="5"/>
  <c r="BD7" i="5" s="1"/>
  <c r="AV7" i="5"/>
  <c r="BF7" i="5" s="1"/>
  <c r="AV24" i="5"/>
  <c r="BF24" i="5" s="1"/>
  <c r="CM37" i="5"/>
  <c r="CN37" i="5" s="1"/>
  <c r="AV37" i="5"/>
  <c r="BF37" i="5" s="1"/>
  <c r="AV8" i="5"/>
  <c r="BF8" i="5" s="1"/>
  <c r="AV10" i="5"/>
  <c r="BF10" i="5" s="1"/>
  <c r="AV22" i="5"/>
  <c r="BF22" i="5" s="1"/>
  <c r="AY39" i="5"/>
  <c r="BD39" i="5" s="1"/>
  <c r="AV39" i="5"/>
  <c r="BF39" i="5" s="1"/>
  <c r="AV50" i="5"/>
  <c r="BF50" i="5" s="1"/>
  <c r="AV35" i="5"/>
  <c r="BF35" i="5" s="1"/>
  <c r="AY56" i="5"/>
  <c r="BD56" i="5" s="1"/>
  <c r="AV56" i="5"/>
  <c r="BF56" i="5" s="1"/>
  <c r="AV30" i="5"/>
  <c r="BF30" i="5" s="1"/>
  <c r="AV53" i="5"/>
  <c r="BF53" i="5" s="1"/>
  <c r="AV55" i="5"/>
  <c r="BF55" i="5" s="1"/>
  <c r="CM32" i="5"/>
  <c r="CN32" i="5" s="1"/>
  <c r="AV32" i="5"/>
  <c r="BF32" i="5" s="1"/>
  <c r="AV48" i="5"/>
  <c r="BF48" i="5" s="1"/>
  <c r="AY16" i="5"/>
  <c r="BD16" i="5" s="1"/>
  <c r="AV16" i="5"/>
  <c r="BF16" i="5" s="1"/>
  <c r="AV41" i="5"/>
  <c r="BF41" i="5" s="1"/>
  <c r="AY46" i="5"/>
  <c r="BD46" i="5" s="1"/>
  <c r="AV46" i="5"/>
  <c r="BF46" i="5" s="1"/>
  <c r="AV40" i="5"/>
  <c r="BF40" i="5" s="1"/>
  <c r="AV34" i="5"/>
  <c r="BF34" i="5" s="1"/>
  <c r="AY31" i="5"/>
  <c r="BD31" i="5" s="1"/>
  <c r="AV31" i="5"/>
  <c r="BF31" i="5" s="1"/>
  <c r="AY23" i="5"/>
  <c r="BD23" i="5" s="1"/>
  <c r="AV23" i="5"/>
  <c r="BF23" i="5" s="1"/>
  <c r="AV13" i="5"/>
  <c r="BF13" i="5" s="1"/>
  <c r="BI44" i="5"/>
  <c r="BG44" i="5"/>
  <c r="BI23" i="5"/>
  <c r="BG23" i="5"/>
  <c r="BG6" i="5"/>
  <c r="BI6" i="5"/>
  <c r="BI10" i="5"/>
  <c r="BG10" i="5"/>
  <c r="BI24" i="5"/>
  <c r="BG24" i="5"/>
  <c r="BI47" i="5"/>
  <c r="BG47" i="5"/>
  <c r="BI17" i="5"/>
  <c r="BG17" i="5"/>
  <c r="BG34" i="5"/>
  <c r="BI34" i="5"/>
  <c r="BI21" i="5"/>
  <c r="BG21" i="5"/>
  <c r="BI35" i="5"/>
  <c r="BG35" i="5"/>
  <c r="BI40" i="5"/>
  <c r="BG40" i="5"/>
  <c r="BG36" i="5"/>
  <c r="BI36" i="5"/>
  <c r="AY10" i="5"/>
  <c r="BD10" i="5" s="1"/>
  <c r="AY49" i="5"/>
  <c r="BD49" i="5" s="1"/>
  <c r="AY21" i="5"/>
  <c r="BD21" i="5" s="1"/>
  <c r="AY51" i="5"/>
  <c r="BD51" i="5" s="1"/>
  <c r="AY40" i="5"/>
  <c r="BD40" i="5" s="1"/>
  <c r="AY9" i="5"/>
  <c r="BD9" i="5" s="1"/>
  <c r="AY38" i="5"/>
  <c r="AY25" i="5"/>
  <c r="BD25" i="5" s="1"/>
  <c r="AY34" i="5"/>
  <c r="BD34" i="5" s="1"/>
  <c r="BO22" i="5"/>
  <c r="BP22" i="5" s="1"/>
  <c r="BQ22" i="5" s="1"/>
  <c r="BR22" i="5" s="1"/>
  <c r="AY26" i="5"/>
  <c r="CM15" i="5"/>
  <c r="CN15" i="5" s="1"/>
  <c r="AY8" i="5"/>
  <c r="AY53" i="5"/>
  <c r="BD53" i="5" s="1"/>
  <c r="AY35" i="5"/>
  <c r="AY24" i="5"/>
  <c r="BT24" i="5" s="1"/>
  <c r="BU24" i="5" s="1"/>
  <c r="BV24" i="5" s="1"/>
  <c r="BW24" i="5" s="1"/>
  <c r="AY5" i="5"/>
  <c r="BD5" i="5" s="1"/>
  <c r="AY43" i="5"/>
  <c r="AY4" i="5"/>
  <c r="BT4" i="5" s="1"/>
  <c r="BU4" i="5" s="1"/>
  <c r="BV4" i="5" s="1"/>
  <c r="BW4" i="5" s="1"/>
  <c r="AY54" i="5"/>
  <c r="AY17" i="5"/>
  <c r="AY27" i="5"/>
  <c r="BD27" i="5" s="1"/>
  <c r="AY18" i="5"/>
  <c r="BD18" i="5" s="1"/>
  <c r="AY41" i="5"/>
  <c r="CM20" i="5"/>
  <c r="CN20" i="5" s="1"/>
  <c r="BY20" i="5"/>
  <c r="BZ20" i="5"/>
  <c r="AG52" i="5"/>
  <c r="AH52" i="5" s="1"/>
  <c r="AG44" i="5"/>
  <c r="AH44" i="5" s="1"/>
  <c r="BQ44" i="5"/>
  <c r="BR44" i="5" s="1"/>
  <c r="AG24" i="5"/>
  <c r="AH24" i="5" s="1"/>
  <c r="AG12" i="5"/>
  <c r="AH12" i="5" s="1"/>
  <c r="AG23" i="5"/>
  <c r="AH23" i="5" s="1"/>
  <c r="AG7" i="5"/>
  <c r="AH7" i="5" s="1"/>
  <c r="BQ7" i="5"/>
  <c r="BR7" i="5" s="1"/>
  <c r="AY32" i="5"/>
  <c r="BD32" i="5" s="1"/>
  <c r="AY14" i="5"/>
  <c r="BD14" i="5" s="1"/>
  <c r="AY37" i="5"/>
  <c r="BD37" i="5" s="1"/>
  <c r="BZ23" i="5"/>
  <c r="CM23" i="5"/>
  <c r="CN23" i="5" s="1"/>
  <c r="BY23" i="5"/>
  <c r="AG21" i="5"/>
  <c r="AH21" i="5" s="1"/>
  <c r="CO15" i="5"/>
  <c r="CP15" i="5" s="1"/>
  <c r="CQ15" i="5" s="1"/>
  <c r="CC15" i="5"/>
  <c r="BZ10" i="5"/>
  <c r="BY10" i="5"/>
  <c r="CM10" i="5"/>
  <c r="CN10" i="5" s="1"/>
  <c r="AG45" i="5"/>
  <c r="AH45" i="5" s="1"/>
  <c r="BQ45" i="5"/>
  <c r="BR45" i="5" s="1"/>
  <c r="AG42" i="5"/>
  <c r="AH42" i="5" s="1"/>
  <c r="BQ42" i="5"/>
  <c r="BR42" i="5" s="1"/>
  <c r="AG19" i="5"/>
  <c r="AH19" i="5" s="1"/>
  <c r="BQ19" i="5"/>
  <c r="BR19" i="5" s="1"/>
  <c r="CA15" i="5"/>
  <c r="CB15" i="5"/>
  <c r="AY55" i="5"/>
  <c r="BD55" i="5" s="1"/>
  <c r="BY4" i="5"/>
  <c r="BZ4" i="5"/>
  <c r="CM4" i="5"/>
  <c r="CN4" i="5" s="1"/>
  <c r="CM22" i="5"/>
  <c r="CN22" i="5" s="1"/>
  <c r="BY22" i="5"/>
  <c r="BZ22" i="5"/>
  <c r="BY12" i="5"/>
  <c r="BZ12" i="5"/>
  <c r="CM12" i="5"/>
  <c r="CN12" i="5" s="1"/>
  <c r="AG15" i="5"/>
  <c r="AH15" i="5" s="1"/>
  <c r="BQ15" i="5"/>
  <c r="BR15" i="5" s="1"/>
  <c r="AG41" i="5"/>
  <c r="AH41" i="5" s="1"/>
  <c r="BQ41" i="5"/>
  <c r="BR41" i="5" s="1"/>
  <c r="CM30" i="5"/>
  <c r="CN30" i="5" s="1"/>
  <c r="BZ30" i="5"/>
  <c r="BY30" i="5"/>
  <c r="AG33" i="5"/>
  <c r="AH33" i="5" s="1"/>
  <c r="BQ33" i="5"/>
  <c r="BR33" i="5" s="1"/>
  <c r="AY12" i="5"/>
  <c r="BD12" i="5" s="1"/>
  <c r="BO12" i="5"/>
  <c r="BP12" i="5" s="1"/>
  <c r="BQ12" i="5" s="1"/>
  <c r="BR12" i="5" s="1"/>
  <c r="CM8" i="5"/>
  <c r="CN8" i="5" s="1"/>
  <c r="BY8" i="5"/>
  <c r="BZ8" i="5"/>
  <c r="BZ40" i="5"/>
  <c r="BY40" i="5"/>
  <c r="CM40" i="5"/>
  <c r="CN40" i="5" s="1"/>
  <c r="AG26" i="5"/>
  <c r="AH26" i="5" s="1"/>
  <c r="BQ26" i="5"/>
  <c r="BR26" i="5" s="1"/>
  <c r="AG25" i="5"/>
  <c r="AH25" i="5" s="1"/>
  <c r="BQ25" i="5"/>
  <c r="BR25" i="5" s="1"/>
  <c r="AG27" i="5"/>
  <c r="AH27" i="5" s="1"/>
  <c r="AG14" i="5"/>
  <c r="AH14" i="5" s="1"/>
  <c r="BQ14" i="5"/>
  <c r="BR14" i="5" s="1"/>
  <c r="CC32" i="5"/>
  <c r="CO32" i="5"/>
  <c r="CP32" i="5" s="1"/>
  <c r="CQ32" i="5" s="1"/>
  <c r="CA32" i="5"/>
  <c r="CB32" i="5"/>
  <c r="CM21" i="5"/>
  <c r="CN21" i="5" s="1"/>
  <c r="BY21" i="5"/>
  <c r="BZ21" i="5"/>
  <c r="AG56" i="5"/>
  <c r="AH56" i="5" s="1"/>
  <c r="BQ56" i="5"/>
  <c r="BR56" i="5" s="1"/>
  <c r="CO14" i="5"/>
  <c r="CP14" i="5" s="1"/>
  <c r="CQ14" i="5" s="1"/>
  <c r="CC14" i="5"/>
  <c r="CM6" i="5"/>
  <c r="CN6" i="5" s="1"/>
  <c r="BZ6" i="5"/>
  <c r="BY6" i="5"/>
  <c r="AG20" i="5"/>
  <c r="AH20" i="5" s="1"/>
  <c r="BY39" i="5"/>
  <c r="BZ39" i="5"/>
  <c r="CM39" i="5"/>
  <c r="CN39" i="5" s="1"/>
  <c r="AY42" i="5"/>
  <c r="BD42" i="5" s="1"/>
  <c r="CA14" i="5"/>
  <c r="CB14" i="5"/>
  <c r="AY48" i="5"/>
  <c r="BD48" i="5" s="1"/>
  <c r="CM28" i="5"/>
  <c r="CN28" i="5" s="1"/>
  <c r="BZ28" i="5"/>
  <c r="BY28" i="5"/>
  <c r="CM54" i="5"/>
  <c r="CN54" i="5" s="1"/>
  <c r="BY54" i="5"/>
  <c r="BZ54" i="5"/>
  <c r="AG46" i="5"/>
  <c r="AH46" i="5" s="1"/>
  <c r="BQ46" i="5"/>
  <c r="BR46" i="5" s="1"/>
  <c r="CC49" i="5"/>
  <c r="CO49" i="5"/>
  <c r="CP49" i="5" s="1"/>
  <c r="CQ49" i="5" s="1"/>
  <c r="CM45" i="5"/>
  <c r="CN45" i="5" s="1"/>
  <c r="BZ45" i="5"/>
  <c r="BY45" i="5"/>
  <c r="CM48" i="5"/>
  <c r="CN48" i="5" s="1"/>
  <c r="BY48" i="5"/>
  <c r="BZ48" i="5"/>
  <c r="BY9" i="5"/>
  <c r="BZ9" i="5"/>
  <c r="CM9" i="5"/>
  <c r="CN9" i="5" s="1"/>
  <c r="AG8" i="5"/>
  <c r="AH8" i="5" s="1"/>
  <c r="BO23" i="5"/>
  <c r="BP23" i="5" s="1"/>
  <c r="BQ23" i="5" s="1"/>
  <c r="BR23" i="5" s="1"/>
  <c r="CB49" i="5"/>
  <c r="CA49" i="5"/>
  <c r="AG48" i="5"/>
  <c r="AH48" i="5" s="1"/>
  <c r="BQ48" i="5"/>
  <c r="BR48" i="5" s="1"/>
  <c r="T55" i="5"/>
  <c r="U55" i="5" s="1"/>
  <c r="CM47" i="5"/>
  <c r="CN47" i="5" s="1"/>
  <c r="BY47" i="5"/>
  <c r="BZ47" i="5"/>
  <c r="BY51" i="5"/>
  <c r="BZ51" i="5"/>
  <c r="CM51" i="5"/>
  <c r="CN51" i="5" s="1"/>
  <c r="AG43" i="5"/>
  <c r="AH43" i="5" s="1"/>
  <c r="BQ43" i="5"/>
  <c r="BR43" i="5" s="1"/>
  <c r="BO6" i="5"/>
  <c r="BP6" i="5" s="1"/>
  <c r="BQ6" i="5" s="1"/>
  <c r="BR6" i="5" s="1"/>
  <c r="BY34" i="5"/>
  <c r="BZ34" i="5"/>
  <c r="CM34" i="5"/>
  <c r="CN34" i="5" s="1"/>
  <c r="CM26" i="5"/>
  <c r="CN26" i="5" s="1"/>
  <c r="BY26" i="5"/>
  <c r="BZ26" i="5"/>
  <c r="AG49" i="5"/>
  <c r="AH49" i="5" s="1"/>
  <c r="BQ49" i="5"/>
  <c r="BR49" i="5" s="1"/>
  <c r="AG22" i="5"/>
  <c r="AH22" i="5" s="1"/>
  <c r="BO10" i="5"/>
  <c r="BP10" i="5" s="1"/>
  <c r="BQ10" i="5" s="1"/>
  <c r="BR10" i="5" s="1"/>
  <c r="CC37" i="5"/>
  <c r="CO37" i="5"/>
  <c r="CP37" i="5" s="1"/>
  <c r="CQ37" i="5" s="1"/>
  <c r="BY11" i="5"/>
  <c r="BZ11" i="5"/>
  <c r="CM11" i="5"/>
  <c r="CN11" i="5" s="1"/>
  <c r="CM38" i="5"/>
  <c r="CN38" i="5" s="1"/>
  <c r="BZ38" i="5"/>
  <c r="BY38" i="5"/>
  <c r="AG9" i="5"/>
  <c r="AH9" i="5" s="1"/>
  <c r="AG38" i="5"/>
  <c r="AH38" i="5" s="1"/>
  <c r="AY30" i="5"/>
  <c r="BD30" i="5" s="1"/>
  <c r="BO11" i="5"/>
  <c r="BP11" i="5" s="1"/>
  <c r="BQ11" i="5" s="1"/>
  <c r="BR11" i="5" s="1"/>
  <c r="CA37" i="5"/>
  <c r="CB37" i="5"/>
  <c r="CM36" i="5"/>
  <c r="CN36" i="5" s="1"/>
  <c r="BZ36" i="5"/>
  <c r="BY36" i="5"/>
  <c r="AG28" i="5"/>
  <c r="AH28" i="5" s="1"/>
  <c r="AG16" i="5"/>
  <c r="AH16" i="5" s="1"/>
  <c r="BQ16" i="5"/>
  <c r="BR16" i="5" s="1"/>
  <c r="AG36" i="5"/>
  <c r="AH36" i="5" s="1"/>
  <c r="BQ36" i="5"/>
  <c r="BR36" i="5" s="1"/>
  <c r="AG32" i="5"/>
  <c r="AH32" i="5" s="1"/>
  <c r="BQ32" i="5"/>
  <c r="BR32" i="5" s="1"/>
  <c r="BO8" i="5"/>
  <c r="BP8" i="5" s="1"/>
  <c r="BQ8" i="5" s="1"/>
  <c r="BR8" i="5" s="1"/>
  <c r="AG5" i="5"/>
  <c r="AH5" i="5" s="1"/>
  <c r="BQ5" i="5"/>
  <c r="BR5" i="5" s="1"/>
  <c r="AG13" i="5"/>
  <c r="AH13" i="5" s="1"/>
  <c r="BQ13" i="5"/>
  <c r="BR13" i="5" s="1"/>
  <c r="AG31" i="5"/>
  <c r="AH31" i="5" s="1"/>
  <c r="BQ31" i="5"/>
  <c r="BR31" i="5" s="1"/>
  <c r="AG50" i="5"/>
  <c r="AH50" i="5" s="1"/>
  <c r="BQ50" i="5"/>
  <c r="BR50" i="5" s="1"/>
  <c r="BY5" i="5"/>
  <c r="BZ5" i="5"/>
  <c r="CM5" i="5"/>
  <c r="CN5" i="5" s="1"/>
  <c r="AY13" i="5"/>
  <c r="BD13" i="5" s="1"/>
  <c r="BO40" i="5"/>
  <c r="BP40" i="5" s="1"/>
  <c r="AG2" i="5"/>
  <c r="AH2" i="5" s="1"/>
  <c r="BQ2" i="5"/>
  <c r="AG11" i="5"/>
  <c r="AH11" i="5" s="1"/>
  <c r="AY20" i="5"/>
  <c r="BD20" i="5" s="1"/>
  <c r="AY33" i="5"/>
  <c r="BD33" i="5" s="1"/>
  <c r="AG4" i="5"/>
  <c r="AH4" i="5" s="1"/>
  <c r="BQ4" i="5"/>
  <c r="BR4" i="5" s="1"/>
  <c r="AG3" i="5"/>
  <c r="AH3" i="5" s="1"/>
  <c r="BQ3" i="5"/>
  <c r="BR3" i="5" s="1"/>
  <c r="AG10" i="5"/>
  <c r="AH10" i="5" s="1"/>
  <c r="BO9" i="5"/>
  <c r="BP9" i="5" s="1"/>
  <c r="BQ9" i="5" s="1"/>
  <c r="BR9" i="5" s="1"/>
  <c r="CB16" i="5"/>
  <c r="CA16" i="5"/>
  <c r="BO20" i="5"/>
  <c r="BP20" i="5" s="1"/>
  <c r="BQ20" i="5" s="1"/>
  <c r="BR20" i="5" s="1"/>
  <c r="AG51" i="5"/>
  <c r="AH51" i="5" s="1"/>
  <c r="BQ51" i="5"/>
  <c r="BR51" i="5" s="1"/>
  <c r="BZ35" i="5"/>
  <c r="BY35" i="5"/>
  <c r="CM35" i="5"/>
  <c r="CN35" i="5" s="1"/>
  <c r="BZ46" i="5"/>
  <c r="BY46" i="5"/>
  <c r="CM46" i="5"/>
  <c r="CN46" i="5" s="1"/>
  <c r="CM18" i="5"/>
  <c r="CN18" i="5" s="1"/>
  <c r="BY18" i="5"/>
  <c r="BZ18" i="5"/>
  <c r="BY52" i="5"/>
  <c r="CM52" i="5"/>
  <c r="CN52" i="5" s="1"/>
  <c r="BZ52" i="5"/>
  <c r="AG30" i="5"/>
  <c r="AH30" i="5" s="1"/>
  <c r="BQ30" i="5"/>
  <c r="BR30" i="5" s="1"/>
  <c r="CC16" i="5"/>
  <c r="CO16" i="5"/>
  <c r="CP16" i="5" s="1"/>
  <c r="CQ16" i="5" s="1"/>
  <c r="BZ13" i="5"/>
  <c r="BY13" i="5"/>
  <c r="CM13" i="5"/>
  <c r="CN13" i="5" s="1"/>
  <c r="CM16" i="5"/>
  <c r="CN16" i="5" s="1"/>
  <c r="BO38" i="5"/>
  <c r="BP38" i="5" s="1"/>
  <c r="BQ38" i="5" s="1"/>
  <c r="BR38" i="5" s="1"/>
  <c r="CC33" i="5"/>
  <c r="CO33" i="5"/>
  <c r="CP33" i="5" s="1"/>
  <c r="CQ33" i="5" s="1"/>
  <c r="CR33" i="5" s="1"/>
  <c r="BZ43" i="5"/>
  <c r="CM43" i="5"/>
  <c r="CN43" i="5" s="1"/>
  <c r="BY43" i="5"/>
  <c r="CC19" i="5"/>
  <c r="CO19" i="5"/>
  <c r="CP19" i="5" s="1"/>
  <c r="CQ19" i="5" s="1"/>
  <c r="BO34" i="5"/>
  <c r="BP34" i="5" s="1"/>
  <c r="CA33" i="5"/>
  <c r="CB33" i="5"/>
  <c r="AG6" i="5"/>
  <c r="AH6" i="5" s="1"/>
  <c r="BY53" i="5"/>
  <c r="BZ53" i="5"/>
  <c r="CM53" i="5"/>
  <c r="CN53" i="5" s="1"/>
  <c r="CM29" i="5"/>
  <c r="CN29" i="5" s="1"/>
  <c r="BY29" i="5"/>
  <c r="BZ29" i="5"/>
  <c r="AG29" i="5"/>
  <c r="AH29" i="5" s="1"/>
  <c r="BQ29" i="5"/>
  <c r="BR29" i="5" s="1"/>
  <c r="CC42" i="5"/>
  <c r="CO42" i="5"/>
  <c r="CP42" i="5" s="1"/>
  <c r="CQ42" i="5" s="1"/>
  <c r="CB19" i="5"/>
  <c r="CA19" i="5"/>
  <c r="CM55" i="5"/>
  <c r="CN55" i="5" s="1"/>
  <c r="BY55" i="5"/>
  <c r="BZ55" i="5"/>
  <c r="BY41" i="5"/>
  <c r="BZ41" i="5"/>
  <c r="CM41" i="5"/>
  <c r="CN41" i="5" s="1"/>
  <c r="BY24" i="5"/>
  <c r="BZ24" i="5"/>
  <c r="CM24" i="5"/>
  <c r="CN24" i="5" s="1"/>
  <c r="CM27" i="5"/>
  <c r="CN27" i="5" s="1"/>
  <c r="BY27" i="5"/>
  <c r="BZ27" i="5"/>
  <c r="CM17" i="5"/>
  <c r="CN17" i="5" s="1"/>
  <c r="BY17" i="5"/>
  <c r="BZ17" i="5"/>
  <c r="BY25" i="5"/>
  <c r="BZ25" i="5"/>
  <c r="CM25" i="5"/>
  <c r="CN25" i="5" s="1"/>
  <c r="CA42" i="5"/>
  <c r="CB42" i="5"/>
  <c r="CM19" i="5"/>
  <c r="CN19" i="5" s="1"/>
  <c r="BO28" i="5"/>
  <c r="BP28" i="5" s="1"/>
  <c r="BQ28" i="5" s="1"/>
  <c r="BR28" i="5" s="1"/>
  <c r="BO27" i="5"/>
  <c r="BP27" i="5" s="1"/>
  <c r="BQ27" i="5" s="1"/>
  <c r="BR27" i="5" s="1"/>
  <c r="BZ31" i="5"/>
  <c r="CM31" i="5"/>
  <c r="CN31" i="5" s="1"/>
  <c r="BY31" i="5"/>
  <c r="CM50" i="5"/>
  <c r="CN50" i="5" s="1"/>
  <c r="BY50" i="5"/>
  <c r="BZ50" i="5"/>
  <c r="CM7" i="5"/>
  <c r="CN7" i="5" s="1"/>
  <c r="BY7" i="5"/>
  <c r="BZ7" i="5"/>
  <c r="CM56" i="5"/>
  <c r="CN56" i="5" s="1"/>
  <c r="BY56" i="5"/>
  <c r="BZ56" i="5"/>
  <c r="BY3" i="5"/>
  <c r="BZ3" i="5"/>
  <c r="CM3" i="5"/>
  <c r="CN3" i="5" s="1"/>
  <c r="BO53" i="5"/>
  <c r="BP53" i="5" s="1"/>
  <c r="AY52" i="5"/>
  <c r="BD52" i="5" s="1"/>
  <c r="CM2" i="5"/>
  <c r="CN2" i="5" s="1"/>
  <c r="BZ2" i="5"/>
  <c r="BY2" i="5"/>
  <c r="CM44" i="5"/>
  <c r="CN44" i="5" s="1"/>
  <c r="BZ44" i="5"/>
  <c r="BY44" i="5"/>
  <c r="AG47" i="5"/>
  <c r="AH47" i="5" s="1"/>
  <c r="BQ47" i="5"/>
  <c r="BR47" i="5" s="1"/>
  <c r="AG17" i="5"/>
  <c r="AH17" i="5" s="1"/>
  <c r="BQ17" i="5"/>
  <c r="BR17" i="5" s="1"/>
  <c r="AY50" i="5"/>
  <c r="BD50" i="5" s="1"/>
  <c r="BO52" i="5"/>
  <c r="BP52" i="5" s="1"/>
  <c r="BQ52" i="5" s="1"/>
  <c r="BR52" i="5" s="1"/>
  <c r="BO21" i="5"/>
  <c r="BP21" i="5" s="1"/>
  <c r="BQ21" i="5" s="1"/>
  <c r="BR21" i="5" s="1"/>
  <c r="BO24" i="5"/>
  <c r="BP24" i="5" s="1"/>
  <c r="BQ24" i="5" s="1"/>
  <c r="BR24" i="5" s="1"/>
  <c r="U18" i="5"/>
  <c r="T54" i="5"/>
  <c r="U54" i="5" s="1"/>
  <c r="T34" i="5"/>
  <c r="U34" i="5" s="1"/>
  <c r="AT39" i="5"/>
  <c r="AU28" i="5"/>
  <c r="AU48" i="5"/>
  <c r="AU52" i="5"/>
  <c r="AT24" i="5"/>
  <c r="AT5" i="5"/>
  <c r="AT44" i="5"/>
  <c r="AU45" i="5"/>
  <c r="AU38" i="5"/>
  <c r="AT27" i="5"/>
  <c r="AT21" i="5"/>
  <c r="AU19" i="5"/>
  <c r="AT4" i="5"/>
  <c r="AU37" i="5"/>
  <c r="AU15" i="5"/>
  <c r="AU9" i="5"/>
  <c r="AT22" i="5"/>
  <c r="AU5" i="5"/>
  <c r="AT15" i="5"/>
  <c r="AT25" i="5"/>
  <c r="AU26" i="5"/>
  <c r="AU27" i="5"/>
  <c r="AT18" i="5"/>
  <c r="AU13" i="5"/>
  <c r="AT13" i="5"/>
  <c r="AU54" i="5"/>
  <c r="AT19" i="5"/>
  <c r="T37" i="5"/>
  <c r="U37" i="5" s="1"/>
  <c r="AU33" i="5"/>
  <c r="AU55" i="5"/>
  <c r="AT32" i="5"/>
  <c r="AT47" i="5"/>
  <c r="AU4" i="5"/>
  <c r="AU41" i="5"/>
  <c r="AT30" i="5"/>
  <c r="AU32" i="5"/>
  <c r="AT56" i="5"/>
  <c r="AT26" i="5"/>
  <c r="AT45" i="5"/>
  <c r="J35" i="5"/>
  <c r="N35" i="5" s="1"/>
  <c r="T35" i="5" s="1"/>
  <c r="U35" i="5" s="1"/>
  <c r="AT52" i="5"/>
  <c r="AU30" i="5"/>
  <c r="AT6" i="5"/>
  <c r="AU51" i="5"/>
  <c r="AT40" i="5"/>
  <c r="AU22" i="5"/>
  <c r="AU14" i="5"/>
  <c r="AU12" i="5"/>
  <c r="AT51" i="5"/>
  <c r="AU31" i="5"/>
  <c r="AT34" i="5"/>
  <c r="AU42" i="5"/>
  <c r="AU16" i="5"/>
  <c r="T53" i="5"/>
  <c r="U53" i="5" s="1"/>
  <c r="AT8" i="5"/>
  <c r="AT23" i="5"/>
  <c r="AT14" i="5"/>
  <c r="AT12" i="5"/>
  <c r="AT53" i="5"/>
  <c r="AT48" i="5"/>
  <c r="AT37" i="5"/>
  <c r="AU3" i="5"/>
  <c r="AT49" i="5"/>
  <c r="AT17" i="5"/>
  <c r="AU56" i="5"/>
  <c r="AT10" i="5"/>
  <c r="AU46" i="5"/>
  <c r="AU20" i="5"/>
  <c r="AU11" i="5"/>
  <c r="AU25" i="5"/>
  <c r="AU18" i="5"/>
  <c r="AT11" i="5"/>
  <c r="AT2" i="5"/>
  <c r="AT42" i="5"/>
  <c r="AU7" i="5"/>
  <c r="AT20" i="5"/>
  <c r="AT3" i="5"/>
  <c r="AT55" i="5"/>
  <c r="AU29" i="5"/>
  <c r="N40" i="5"/>
  <c r="T40" i="5" s="1"/>
  <c r="U40" i="5" s="1"/>
  <c r="K40" i="5"/>
  <c r="M40" i="5" s="1"/>
  <c r="AT33" i="5"/>
  <c r="N39" i="5"/>
  <c r="T39" i="5" s="1"/>
  <c r="U39" i="5" s="1"/>
  <c r="K39" i="5"/>
  <c r="M39" i="5" s="1"/>
  <c r="AU50" i="5"/>
  <c r="AT50" i="5"/>
  <c r="AT16" i="5"/>
  <c r="AT35" i="5"/>
  <c r="AT7" i="5"/>
  <c r="AT31" i="5"/>
  <c r="AU39" i="5"/>
  <c r="AT28" i="5"/>
  <c r="AT54" i="5"/>
  <c r="AT9" i="5"/>
  <c r="AT43" i="5"/>
  <c r="AT41" i="5"/>
  <c r="AT29" i="5"/>
  <c r="AU49" i="5"/>
  <c r="AT38" i="5"/>
  <c r="AU43" i="5"/>
  <c r="AU8" i="5"/>
  <c r="AT46" i="5"/>
  <c r="AT36" i="5"/>
  <c r="BT47" i="5" l="1"/>
  <c r="BU47" i="5" s="1"/>
  <c r="BV47" i="5" s="1"/>
  <c r="BW47" i="5" s="1"/>
  <c r="CR49" i="5"/>
  <c r="CD47" i="5"/>
  <c r="BT3" i="5"/>
  <c r="BU3" i="5" s="1"/>
  <c r="BV3" i="5" s="1"/>
  <c r="BW3" i="5" s="1"/>
  <c r="DG3" i="5"/>
  <c r="DI3" i="5" s="1"/>
  <c r="DJ3" i="5" s="1"/>
  <c r="DK3" i="5" s="1"/>
  <c r="DL3" i="5" s="1"/>
  <c r="AZ3" i="5"/>
  <c r="BA3" i="5" s="1"/>
  <c r="BB3" i="5" s="1"/>
  <c r="CD3" i="5"/>
  <c r="AZ47" i="5"/>
  <c r="BA47" i="5" s="1"/>
  <c r="BB47" i="5" s="1"/>
  <c r="BT49" i="5"/>
  <c r="BU49" i="5" s="1"/>
  <c r="BV49" i="5" s="1"/>
  <c r="BW49" i="5" s="1"/>
  <c r="AZ49" i="5"/>
  <c r="BA49" i="5" s="1"/>
  <c r="BB49" i="5" s="1"/>
  <c r="CD49" i="5"/>
  <c r="CE49" i="5" s="1"/>
  <c r="CF49" i="5" s="1"/>
  <c r="CG49" i="5" s="1"/>
  <c r="CH49" i="5" s="1"/>
  <c r="AZ29" i="5"/>
  <c r="BA29" i="5" s="1"/>
  <c r="BB29" i="5" s="1"/>
  <c r="BT29" i="5"/>
  <c r="BU29" i="5" s="1"/>
  <c r="BV29" i="5" s="1"/>
  <c r="BW29" i="5" s="1"/>
  <c r="DG49" i="5"/>
  <c r="DI49" i="5" s="1"/>
  <c r="DJ49" i="5" s="1"/>
  <c r="DK49" i="5" s="1"/>
  <c r="DL49" i="5" s="1"/>
  <c r="AZ46" i="5"/>
  <c r="BA46" i="5" s="1"/>
  <c r="BB46" i="5" s="1"/>
  <c r="BT46" i="5"/>
  <c r="BU46" i="5" s="1"/>
  <c r="BV46" i="5" s="1"/>
  <c r="BW46" i="5" s="1"/>
  <c r="CD29" i="5"/>
  <c r="DG29" i="5"/>
  <c r="DI29" i="5" s="1"/>
  <c r="DJ29" i="5" s="1"/>
  <c r="DK29" i="5" s="1"/>
  <c r="DL29" i="5" s="1"/>
  <c r="AZ23" i="5"/>
  <c r="BA23" i="5" s="1"/>
  <c r="BB23" i="5" s="1"/>
  <c r="BT23" i="5"/>
  <c r="BU23" i="5" s="1"/>
  <c r="BV23" i="5" s="1"/>
  <c r="BW23" i="5" s="1"/>
  <c r="BT16" i="5"/>
  <c r="BU16" i="5" s="1"/>
  <c r="BV16" i="5" s="1"/>
  <c r="BW16" i="5" s="1"/>
  <c r="CD23" i="5"/>
  <c r="AZ36" i="5"/>
  <c r="BA36" i="5" s="1"/>
  <c r="BB36" i="5" s="1"/>
  <c r="DG36" i="5"/>
  <c r="DI36" i="5" s="1"/>
  <c r="DJ36" i="5" s="1"/>
  <c r="DK36" i="5" s="1"/>
  <c r="DL36" i="5" s="1"/>
  <c r="AZ16" i="5"/>
  <c r="BA16" i="5" s="1"/>
  <c r="BB16" i="5" s="1"/>
  <c r="DG16" i="5"/>
  <c r="DI16" i="5" s="1"/>
  <c r="DJ16" i="5" s="1"/>
  <c r="DK16" i="5" s="1"/>
  <c r="DL16" i="5" s="1"/>
  <c r="CD16" i="5"/>
  <c r="CE16" i="5" s="1"/>
  <c r="CF16" i="5" s="1"/>
  <c r="CG16" i="5" s="1"/>
  <c r="CH16" i="5" s="1"/>
  <c r="AZ31" i="5"/>
  <c r="BA31" i="5" s="1"/>
  <c r="BB31" i="5" s="1"/>
  <c r="BT31" i="5"/>
  <c r="BU31" i="5" s="1"/>
  <c r="BV31" i="5" s="1"/>
  <c r="BW31" i="5" s="1"/>
  <c r="CD31" i="5"/>
  <c r="DG22" i="5"/>
  <c r="DI22" i="5" s="1"/>
  <c r="DJ22" i="5" s="1"/>
  <c r="DK22" i="5" s="1"/>
  <c r="DL22" i="5" s="1"/>
  <c r="AZ34" i="5"/>
  <c r="BA34" i="5" s="1"/>
  <c r="BB34" i="5" s="1"/>
  <c r="BT34" i="5"/>
  <c r="BU34" i="5" s="1"/>
  <c r="BV34" i="5" s="1"/>
  <c r="BW34" i="5" s="1"/>
  <c r="CD34" i="5"/>
  <c r="AZ9" i="5"/>
  <c r="BA9" i="5" s="1"/>
  <c r="BB9" i="5" s="1"/>
  <c r="BT9" i="5"/>
  <c r="BU9" i="5" s="1"/>
  <c r="BV9" i="5" s="1"/>
  <c r="BW9" i="5" s="1"/>
  <c r="CD9" i="5"/>
  <c r="DG47" i="5"/>
  <c r="DI47" i="5" s="1"/>
  <c r="DJ47" i="5" s="1"/>
  <c r="DK47" i="5" s="1"/>
  <c r="DL47" i="5" s="1"/>
  <c r="DG9" i="5"/>
  <c r="DI9" i="5" s="1"/>
  <c r="DJ9" i="5" s="1"/>
  <c r="DK9" i="5" s="1"/>
  <c r="DL9" i="5" s="1"/>
  <c r="CD51" i="5"/>
  <c r="BT22" i="5"/>
  <c r="BU22" i="5" s="1"/>
  <c r="BV22" i="5" s="1"/>
  <c r="BW22" i="5" s="1"/>
  <c r="DG34" i="5"/>
  <c r="DI34" i="5" s="1"/>
  <c r="DJ34" i="5" s="1"/>
  <c r="DK34" i="5" s="1"/>
  <c r="DL34" i="5" s="1"/>
  <c r="CR15" i="5"/>
  <c r="AZ7" i="5"/>
  <c r="BA7" i="5" s="1"/>
  <c r="BB7" i="5" s="1"/>
  <c r="BT7" i="5"/>
  <c r="BU7" i="5" s="1"/>
  <c r="BV7" i="5" s="1"/>
  <c r="BW7" i="5" s="1"/>
  <c r="DG7" i="5"/>
  <c r="DI7" i="5" s="1"/>
  <c r="DJ7" i="5" s="1"/>
  <c r="DK7" i="5" s="1"/>
  <c r="DL7" i="5" s="1"/>
  <c r="CD7" i="5"/>
  <c r="BT51" i="5"/>
  <c r="BU51" i="5" s="1"/>
  <c r="BV51" i="5" s="1"/>
  <c r="BW51" i="5" s="1"/>
  <c r="AZ19" i="5"/>
  <c r="BA19" i="5" s="1"/>
  <c r="BB19" i="5" s="1"/>
  <c r="AZ21" i="5"/>
  <c r="BA21" i="5" s="1"/>
  <c r="BB21" i="5" s="1"/>
  <c r="BT36" i="5"/>
  <c r="BU36" i="5" s="1"/>
  <c r="BV36" i="5" s="1"/>
  <c r="BW36" i="5" s="1"/>
  <c r="AZ22" i="5"/>
  <c r="BA22" i="5" s="1"/>
  <c r="BB22" i="5" s="1"/>
  <c r="CD36" i="5"/>
  <c r="CD22" i="5"/>
  <c r="DG4" i="5"/>
  <c r="DI4" i="5" s="1"/>
  <c r="DJ4" i="5" s="1"/>
  <c r="DK4" i="5" s="1"/>
  <c r="DL4" i="5" s="1"/>
  <c r="BT27" i="5"/>
  <c r="BU27" i="5" s="1"/>
  <c r="BV27" i="5" s="1"/>
  <c r="BW27" i="5" s="1"/>
  <c r="DG27" i="5"/>
  <c r="DI27" i="5" s="1"/>
  <c r="DJ27" i="5" s="1"/>
  <c r="DK27" i="5" s="1"/>
  <c r="DL27" i="5" s="1"/>
  <c r="CD27" i="5"/>
  <c r="BT21" i="5"/>
  <c r="BU21" i="5" s="1"/>
  <c r="BV21" i="5" s="1"/>
  <c r="BW21" i="5" s="1"/>
  <c r="DG46" i="5"/>
  <c r="DI46" i="5" s="1"/>
  <c r="DJ46" i="5" s="1"/>
  <c r="DK46" i="5" s="1"/>
  <c r="DL46" i="5" s="1"/>
  <c r="CD21" i="5"/>
  <c r="CD46" i="5"/>
  <c r="DG21" i="5"/>
  <c r="DI21" i="5" s="1"/>
  <c r="DJ21" i="5" s="1"/>
  <c r="DK21" i="5" s="1"/>
  <c r="DL21" i="5" s="1"/>
  <c r="CD4" i="5"/>
  <c r="CD56" i="5"/>
  <c r="BJ53" i="5"/>
  <c r="BK53" i="5" s="1"/>
  <c r="BL53" i="5" s="1"/>
  <c r="BM53" i="5" s="1"/>
  <c r="CD45" i="5"/>
  <c r="BT56" i="5"/>
  <c r="BU56" i="5" s="1"/>
  <c r="BV56" i="5" s="1"/>
  <c r="BW56" i="5" s="1"/>
  <c r="DG56" i="5"/>
  <c r="DI56" i="5" s="1"/>
  <c r="DJ56" i="5" s="1"/>
  <c r="DK56" i="5" s="1"/>
  <c r="DL56" i="5" s="1"/>
  <c r="DG6" i="5"/>
  <c r="DI6" i="5" s="1"/>
  <c r="DJ6" i="5" s="1"/>
  <c r="DK6" i="5" s="1"/>
  <c r="DL6" i="5" s="1"/>
  <c r="CD6" i="5"/>
  <c r="DG45" i="5"/>
  <c r="DI45" i="5" s="1"/>
  <c r="DJ45" i="5" s="1"/>
  <c r="DK45" i="5" s="1"/>
  <c r="DL45" i="5" s="1"/>
  <c r="AZ56" i="5"/>
  <c r="BA56" i="5" s="1"/>
  <c r="BB56" i="5" s="1"/>
  <c r="AZ11" i="5"/>
  <c r="BA11" i="5" s="1"/>
  <c r="BB11" i="5" s="1"/>
  <c r="BT11" i="5"/>
  <c r="BU11" i="5" s="1"/>
  <c r="BV11" i="5" s="1"/>
  <c r="BW11" i="5" s="1"/>
  <c r="DG23" i="5"/>
  <c r="DI23" i="5" s="1"/>
  <c r="DJ23" i="5" s="1"/>
  <c r="DK23" i="5" s="1"/>
  <c r="DL23" i="5" s="1"/>
  <c r="DG31" i="5"/>
  <c r="DI31" i="5" s="1"/>
  <c r="DJ31" i="5" s="1"/>
  <c r="DK31" i="5" s="1"/>
  <c r="DL31" i="5" s="1"/>
  <c r="CD11" i="5"/>
  <c r="BT45" i="5"/>
  <c r="BU45" i="5" s="1"/>
  <c r="BV45" i="5" s="1"/>
  <c r="BW45" i="5" s="1"/>
  <c r="DG11" i="5"/>
  <c r="DI11" i="5" s="1"/>
  <c r="DJ11" i="5" s="1"/>
  <c r="DK11" i="5" s="1"/>
  <c r="DL11" i="5" s="1"/>
  <c r="BT39" i="5"/>
  <c r="BU39" i="5" s="1"/>
  <c r="BV39" i="5" s="1"/>
  <c r="BW39" i="5" s="1"/>
  <c r="AZ25" i="5"/>
  <c r="BA25" i="5" s="1"/>
  <c r="BB25" i="5" s="1"/>
  <c r="AZ18" i="5"/>
  <c r="BA18" i="5" s="1"/>
  <c r="BB18" i="5" s="1"/>
  <c r="AZ15" i="5"/>
  <c r="BA15" i="5" s="1"/>
  <c r="BB15" i="5" s="1"/>
  <c r="AZ10" i="5"/>
  <c r="BA10" i="5" s="1"/>
  <c r="BB10" i="5" s="1"/>
  <c r="AZ45" i="5"/>
  <c r="BA45" i="5" s="1"/>
  <c r="BB45" i="5" s="1"/>
  <c r="DG39" i="5"/>
  <c r="DI39" i="5" s="1"/>
  <c r="DJ39" i="5" s="1"/>
  <c r="DK39" i="5" s="1"/>
  <c r="DL39" i="5" s="1"/>
  <c r="BT25" i="5"/>
  <c r="BU25" i="5" s="1"/>
  <c r="BV25" i="5" s="1"/>
  <c r="BW25" i="5" s="1"/>
  <c r="BT18" i="5"/>
  <c r="BU18" i="5" s="1"/>
  <c r="BV18" i="5" s="1"/>
  <c r="BW18" i="5" s="1"/>
  <c r="BT15" i="5"/>
  <c r="BU15" i="5" s="1"/>
  <c r="BV15" i="5" s="1"/>
  <c r="BW15" i="5" s="1"/>
  <c r="BT10" i="5"/>
  <c r="BU10" i="5" s="1"/>
  <c r="BV10" i="5" s="1"/>
  <c r="BW10" i="5" s="1"/>
  <c r="CD39" i="5"/>
  <c r="DG25" i="5"/>
  <c r="DI25" i="5" s="1"/>
  <c r="DJ25" i="5" s="1"/>
  <c r="DK25" i="5" s="1"/>
  <c r="DL25" i="5" s="1"/>
  <c r="CD18" i="5"/>
  <c r="DG15" i="5"/>
  <c r="DI15" i="5" s="1"/>
  <c r="DJ15" i="5" s="1"/>
  <c r="DK15" i="5" s="1"/>
  <c r="DL15" i="5" s="1"/>
  <c r="CD10" i="5"/>
  <c r="CR37" i="5"/>
  <c r="CD25" i="5"/>
  <c r="DG18" i="5"/>
  <c r="DI18" i="5" s="1"/>
  <c r="DJ18" i="5" s="1"/>
  <c r="DK18" i="5" s="1"/>
  <c r="DL18" i="5" s="1"/>
  <c r="CD15" i="5"/>
  <c r="CE15" i="5" s="1"/>
  <c r="CF15" i="5" s="1"/>
  <c r="CG15" i="5" s="1"/>
  <c r="CH15" i="5" s="1"/>
  <c r="DG10" i="5"/>
  <c r="DI10" i="5" s="1"/>
  <c r="DJ10" i="5" s="1"/>
  <c r="DK10" i="5" s="1"/>
  <c r="DL10" i="5" s="1"/>
  <c r="AZ27" i="5"/>
  <c r="BA27" i="5" s="1"/>
  <c r="BB27" i="5" s="1"/>
  <c r="AL6" i="5"/>
  <c r="AM6" i="5"/>
  <c r="AM41" i="5"/>
  <c r="AL41" i="5"/>
  <c r="DG53" i="5"/>
  <c r="DI53" i="5" s="1"/>
  <c r="DJ53" i="5" s="1"/>
  <c r="DK53" i="5" s="1"/>
  <c r="DL53" i="5" s="1"/>
  <c r="CD38" i="5"/>
  <c r="BD38" i="5"/>
  <c r="AL38" i="5"/>
  <c r="AM38" i="5"/>
  <c r="AL25" i="5"/>
  <c r="AM25" i="5"/>
  <c r="AZ40" i="5"/>
  <c r="BA40" i="5" s="1"/>
  <c r="BB40" i="5" s="1"/>
  <c r="AZ44" i="5"/>
  <c r="BA44" i="5" s="1"/>
  <c r="BB44" i="5" s="1"/>
  <c r="AZ43" i="5"/>
  <c r="BA43" i="5" s="1"/>
  <c r="BB43" i="5" s="1"/>
  <c r="BD43" i="5"/>
  <c r="BG50" i="5"/>
  <c r="BI50" i="5"/>
  <c r="AL51" i="5"/>
  <c r="AM51" i="5"/>
  <c r="BT40" i="5"/>
  <c r="BU40" i="5" s="1"/>
  <c r="BV40" i="5" s="1"/>
  <c r="BW40" i="5" s="1"/>
  <c r="BT44" i="5"/>
  <c r="BU44" i="5" s="1"/>
  <c r="BV44" i="5" s="1"/>
  <c r="BW44" i="5" s="1"/>
  <c r="AL2" i="5"/>
  <c r="AM2" i="5"/>
  <c r="AL50" i="5"/>
  <c r="AM50" i="5"/>
  <c r="AL26" i="5"/>
  <c r="AM26" i="5"/>
  <c r="CD40" i="5"/>
  <c r="CD44" i="5"/>
  <c r="AL28" i="5"/>
  <c r="AM28" i="5"/>
  <c r="AM9" i="5"/>
  <c r="AL9" i="5"/>
  <c r="AM48" i="5"/>
  <c r="AL48" i="5"/>
  <c r="DG40" i="5"/>
  <c r="DI40" i="5" s="1"/>
  <c r="DJ40" i="5" s="1"/>
  <c r="DK40" i="5" s="1"/>
  <c r="DL40" i="5" s="1"/>
  <c r="DG44" i="5"/>
  <c r="DI44" i="5" s="1"/>
  <c r="DJ44" i="5" s="1"/>
  <c r="DK44" i="5" s="1"/>
  <c r="DL44" i="5" s="1"/>
  <c r="AZ2" i="5"/>
  <c r="BA2" i="5" s="1"/>
  <c r="BB2" i="5" s="1"/>
  <c r="AZ53" i="5"/>
  <c r="BA53" i="5" s="1"/>
  <c r="BB53" i="5" s="1"/>
  <c r="AM15" i="5"/>
  <c r="AL15" i="5"/>
  <c r="AL21" i="5"/>
  <c r="AM21" i="5"/>
  <c r="BI52" i="5"/>
  <c r="BG52" i="5"/>
  <c r="AZ51" i="5"/>
  <c r="BA51" i="5" s="1"/>
  <c r="BB51" i="5" s="1"/>
  <c r="AZ28" i="5"/>
  <c r="BA28" i="5" s="1"/>
  <c r="BB28" i="5" s="1"/>
  <c r="AL31" i="5"/>
  <c r="AM31" i="5"/>
  <c r="BT28" i="5"/>
  <c r="BU28" i="5" s="1"/>
  <c r="BV28" i="5" s="1"/>
  <c r="BW28" i="5" s="1"/>
  <c r="DG8" i="5"/>
  <c r="DI8" i="5" s="1"/>
  <c r="DJ8" i="5" s="1"/>
  <c r="DK8" i="5" s="1"/>
  <c r="DL8" i="5" s="1"/>
  <c r="BD8" i="5"/>
  <c r="BT2" i="5"/>
  <c r="BU2" i="5" s="1"/>
  <c r="BV2" i="5" s="1"/>
  <c r="BW2" i="5" s="1"/>
  <c r="CD2" i="5"/>
  <c r="CD53" i="5"/>
  <c r="AL20" i="5"/>
  <c r="AM20" i="5"/>
  <c r="DG51" i="5"/>
  <c r="DI51" i="5" s="1"/>
  <c r="DJ51" i="5" s="1"/>
  <c r="DK51" i="5" s="1"/>
  <c r="DL51" i="5" s="1"/>
  <c r="CD28" i="5"/>
  <c r="AM13" i="5"/>
  <c r="AL13" i="5"/>
  <c r="DG28" i="5"/>
  <c r="DI28" i="5" s="1"/>
  <c r="DJ28" i="5" s="1"/>
  <c r="DK28" i="5" s="1"/>
  <c r="DL28" i="5" s="1"/>
  <c r="CD35" i="5"/>
  <c r="BD35" i="5"/>
  <c r="BJ35" i="5" s="1"/>
  <c r="BK35" i="5" s="1"/>
  <c r="BL35" i="5" s="1"/>
  <c r="BM35" i="5" s="1"/>
  <c r="BT53" i="5"/>
  <c r="BU53" i="5" s="1"/>
  <c r="BV53" i="5" s="1"/>
  <c r="BW53" i="5" s="1"/>
  <c r="AM10" i="5"/>
  <c r="AL10" i="5"/>
  <c r="AM29" i="5"/>
  <c r="AL29" i="5"/>
  <c r="AM7" i="5"/>
  <c r="AL7" i="5"/>
  <c r="AZ38" i="5"/>
  <c r="BA38" i="5" s="1"/>
  <c r="BB38" i="5" s="1"/>
  <c r="AM8" i="5"/>
  <c r="AL8" i="5"/>
  <c r="AL23" i="5"/>
  <c r="AM23" i="5"/>
  <c r="AZ5" i="5"/>
  <c r="BA5" i="5" s="1"/>
  <c r="BB5" i="5" s="1"/>
  <c r="BT43" i="5"/>
  <c r="BU43" i="5" s="1"/>
  <c r="BV43" i="5" s="1"/>
  <c r="BW43" i="5" s="1"/>
  <c r="AL47" i="5"/>
  <c r="AM47" i="5"/>
  <c r="BG48" i="5"/>
  <c r="BI48" i="5"/>
  <c r="AL30" i="5"/>
  <c r="AM30" i="5"/>
  <c r="AM5" i="5"/>
  <c r="AL5" i="5"/>
  <c r="BT5" i="5"/>
  <c r="BU5" i="5" s="1"/>
  <c r="BV5" i="5" s="1"/>
  <c r="BW5" i="5" s="1"/>
  <c r="AZ8" i="5"/>
  <c r="BA8" i="5" s="1"/>
  <c r="BB8" i="5" s="1"/>
  <c r="CD43" i="5"/>
  <c r="DG24" i="5"/>
  <c r="DI24" i="5" s="1"/>
  <c r="DJ24" i="5" s="1"/>
  <c r="DK24" i="5" s="1"/>
  <c r="DL24" i="5" s="1"/>
  <c r="CR14" i="5"/>
  <c r="AL19" i="5"/>
  <c r="AM19" i="5"/>
  <c r="AM12" i="5"/>
  <c r="AL12" i="5"/>
  <c r="DG5" i="5"/>
  <c r="DI5" i="5" s="1"/>
  <c r="DJ5" i="5" s="1"/>
  <c r="DK5" i="5" s="1"/>
  <c r="DL5" i="5" s="1"/>
  <c r="BT8" i="5"/>
  <c r="BU8" i="5" s="1"/>
  <c r="BV8" i="5" s="1"/>
  <c r="BW8" i="5" s="1"/>
  <c r="DG43" i="5"/>
  <c r="DI43" i="5" s="1"/>
  <c r="DJ43" i="5" s="1"/>
  <c r="DK43" i="5" s="1"/>
  <c r="DL43" i="5" s="1"/>
  <c r="AM36" i="5"/>
  <c r="AL36" i="5"/>
  <c r="AZ24" i="5"/>
  <c r="BA24" i="5" s="1"/>
  <c r="BB24" i="5" s="1"/>
  <c r="AM33" i="5"/>
  <c r="AL33" i="5"/>
  <c r="AL24" i="5"/>
  <c r="AM24" i="5"/>
  <c r="CD5" i="5"/>
  <c r="CD8" i="5"/>
  <c r="DG41" i="5"/>
  <c r="DI41" i="5" s="1"/>
  <c r="DJ41" i="5" s="1"/>
  <c r="DK41" i="5" s="1"/>
  <c r="DL41" i="5" s="1"/>
  <c r="BD41" i="5"/>
  <c r="AM46" i="5"/>
  <c r="AL46" i="5"/>
  <c r="CD26" i="5"/>
  <c r="BD26" i="5"/>
  <c r="AL27" i="5"/>
  <c r="AM27" i="5"/>
  <c r="AM32" i="5"/>
  <c r="AL32" i="5"/>
  <c r="AM42" i="5"/>
  <c r="AL42" i="5"/>
  <c r="BT19" i="5"/>
  <c r="BU19" i="5" s="1"/>
  <c r="BV19" i="5" s="1"/>
  <c r="BW19" i="5" s="1"/>
  <c r="CD24" i="5"/>
  <c r="BD24" i="5"/>
  <c r="BJ24" i="5" s="1"/>
  <c r="BK24" i="5" s="1"/>
  <c r="BL24" i="5" s="1"/>
  <c r="BM24" i="5" s="1"/>
  <c r="AM16" i="5"/>
  <c r="AL16" i="5"/>
  <c r="CR32" i="5"/>
  <c r="BI51" i="5"/>
  <c r="BG51" i="5"/>
  <c r="DG2" i="5"/>
  <c r="DI2" i="5" s="1"/>
  <c r="DJ2" i="5" s="1"/>
  <c r="DK2" i="5" s="1"/>
  <c r="DL2" i="5" s="1"/>
  <c r="CR42" i="5"/>
  <c r="BI54" i="5"/>
  <c r="BG54" i="5"/>
  <c r="AL56" i="5"/>
  <c r="AM56" i="5"/>
  <c r="CD19" i="5"/>
  <c r="CE19" i="5" s="1"/>
  <c r="CF19" i="5" s="1"/>
  <c r="CG19" i="5" s="1"/>
  <c r="CH19" i="5" s="1"/>
  <c r="AM11" i="5"/>
  <c r="AL11" i="5"/>
  <c r="AM14" i="5"/>
  <c r="AL14" i="5"/>
  <c r="AN14" i="5" s="1"/>
  <c r="CW49" i="5"/>
  <c r="BG49" i="5"/>
  <c r="BI49" i="5"/>
  <c r="BI56" i="5"/>
  <c r="BG56" i="5"/>
  <c r="AM3" i="5"/>
  <c r="AL3" i="5"/>
  <c r="AM4" i="5"/>
  <c r="AL4" i="5"/>
  <c r="AL22" i="5"/>
  <c r="AM22" i="5"/>
  <c r="DG19" i="5"/>
  <c r="DI19" i="5" s="1"/>
  <c r="DJ19" i="5" s="1"/>
  <c r="DK19" i="5" s="1"/>
  <c r="DL19" i="5" s="1"/>
  <c r="CD17" i="5"/>
  <c r="BD17" i="5"/>
  <c r="BJ17" i="5" s="1"/>
  <c r="BK17" i="5" s="1"/>
  <c r="BL17" i="5" s="1"/>
  <c r="BM17" i="5" s="1"/>
  <c r="BG55" i="5"/>
  <c r="BI55" i="5"/>
  <c r="AM17" i="5"/>
  <c r="AL17" i="5"/>
  <c r="AZ39" i="5"/>
  <c r="BA39" i="5" s="1"/>
  <c r="BB39" i="5" s="1"/>
  <c r="AZ6" i="5"/>
  <c r="BA6" i="5" s="1"/>
  <c r="BB6" i="5" s="1"/>
  <c r="CD54" i="5"/>
  <c r="BD54" i="5"/>
  <c r="BI2" i="5"/>
  <c r="BG2" i="5"/>
  <c r="AL52" i="5"/>
  <c r="AM52" i="5"/>
  <c r="AM43" i="5"/>
  <c r="AL43" i="5"/>
  <c r="AL49" i="5"/>
  <c r="AM49" i="5"/>
  <c r="AM45" i="5"/>
  <c r="AL45" i="5"/>
  <c r="AM44" i="5"/>
  <c r="AL44" i="5"/>
  <c r="AZ35" i="5"/>
  <c r="BA35" i="5" s="1"/>
  <c r="BB35" i="5" s="1"/>
  <c r="BT6" i="5"/>
  <c r="BU6" i="5" s="1"/>
  <c r="BV6" i="5" s="1"/>
  <c r="BW6" i="5" s="1"/>
  <c r="AZ4" i="5"/>
  <c r="BA4" i="5" s="1"/>
  <c r="BB4" i="5" s="1"/>
  <c r="BD4" i="5"/>
  <c r="BJ40" i="5"/>
  <c r="BK40" i="5" s="1"/>
  <c r="BL40" i="5" s="1"/>
  <c r="BM40" i="5" s="1"/>
  <c r="BJ21" i="5"/>
  <c r="BK21" i="5" s="1"/>
  <c r="BL21" i="5" s="1"/>
  <c r="BM21" i="5" s="1"/>
  <c r="BJ47" i="5"/>
  <c r="BK47" i="5" s="1"/>
  <c r="BL47" i="5" s="1"/>
  <c r="BM47" i="5" s="1"/>
  <c r="BJ23" i="5"/>
  <c r="BK23" i="5" s="1"/>
  <c r="BL23" i="5" s="1"/>
  <c r="BM23" i="5" s="1"/>
  <c r="BI5" i="5"/>
  <c r="BG5" i="5"/>
  <c r="BI12" i="5"/>
  <c r="BG12" i="5"/>
  <c r="BG9" i="5"/>
  <c r="BI9" i="5"/>
  <c r="BJ36" i="5"/>
  <c r="BK36" i="5" s="1"/>
  <c r="BL36" i="5" s="1"/>
  <c r="BM36" i="5" s="1"/>
  <c r="CW15" i="5"/>
  <c r="BI15" i="5"/>
  <c r="BG15" i="5"/>
  <c r="BI46" i="5"/>
  <c r="BG46" i="5"/>
  <c r="BG4" i="5"/>
  <c r="BI4" i="5"/>
  <c r="CW16" i="5"/>
  <c r="BI16" i="5"/>
  <c r="BG16" i="5"/>
  <c r="BG31" i="5"/>
  <c r="BI31" i="5"/>
  <c r="BI22" i="5"/>
  <c r="BG22" i="5"/>
  <c r="DB37" i="5"/>
  <c r="BG37" i="5"/>
  <c r="BI37" i="5"/>
  <c r="BG39" i="5"/>
  <c r="BI39" i="5"/>
  <c r="BJ34" i="5"/>
  <c r="BK34" i="5" s="1"/>
  <c r="BL34" i="5" s="1"/>
  <c r="BM34" i="5" s="1"/>
  <c r="CW14" i="5"/>
  <c r="BI14" i="5"/>
  <c r="BG14" i="5"/>
  <c r="BG7" i="5"/>
  <c r="BI7" i="5"/>
  <c r="BI26" i="5"/>
  <c r="BG26" i="5"/>
  <c r="BJ10" i="5"/>
  <c r="BK10" i="5" s="1"/>
  <c r="BL10" i="5" s="1"/>
  <c r="BM10" i="5" s="1"/>
  <c r="CW33" i="5"/>
  <c r="BI33" i="5"/>
  <c r="BG33" i="5"/>
  <c r="CW42" i="5"/>
  <c r="BI42" i="5"/>
  <c r="BG42" i="5"/>
  <c r="BG3" i="5"/>
  <c r="BI3" i="5"/>
  <c r="BI30" i="5"/>
  <c r="BG30" i="5"/>
  <c r="BG8" i="5"/>
  <c r="BI8" i="5"/>
  <c r="BG38" i="5"/>
  <c r="BI38" i="5"/>
  <c r="BJ6" i="5"/>
  <c r="BK6" i="5" s="1"/>
  <c r="BL6" i="5" s="1"/>
  <c r="BM6" i="5" s="1"/>
  <c r="BI13" i="5"/>
  <c r="BG13" i="5"/>
  <c r="BG29" i="5"/>
  <c r="BI29" i="5"/>
  <c r="CW19" i="5"/>
  <c r="BI19" i="5"/>
  <c r="BG19" i="5"/>
  <c r="BG45" i="5"/>
  <c r="BI45" i="5"/>
  <c r="BI25" i="5"/>
  <c r="BG25" i="5"/>
  <c r="BG41" i="5"/>
  <c r="BI41" i="5"/>
  <c r="BG28" i="5"/>
  <c r="BI28" i="5"/>
  <c r="BI43" i="5"/>
  <c r="BG43" i="5"/>
  <c r="BI11" i="5"/>
  <c r="BG11" i="5"/>
  <c r="BJ44" i="5"/>
  <c r="BK44" i="5" s="1"/>
  <c r="BL44" i="5" s="1"/>
  <c r="BM44" i="5" s="1"/>
  <c r="BG27" i="5"/>
  <c r="BI27" i="5"/>
  <c r="BG18" i="5"/>
  <c r="BI18" i="5"/>
  <c r="BI20" i="5"/>
  <c r="BG20" i="5"/>
  <c r="CW32" i="5"/>
  <c r="BG32" i="5"/>
  <c r="BI32" i="5"/>
  <c r="DB32" i="5"/>
  <c r="DB33" i="5"/>
  <c r="AZ17" i="5"/>
  <c r="BA17" i="5" s="1"/>
  <c r="BB17" i="5" s="1"/>
  <c r="AZ54" i="5"/>
  <c r="BA54" i="5" s="1"/>
  <c r="BB54" i="5" s="1"/>
  <c r="BT17" i="5"/>
  <c r="BU17" i="5" s="1"/>
  <c r="BV17" i="5" s="1"/>
  <c r="BW17" i="5" s="1"/>
  <c r="BT54" i="5"/>
  <c r="BU54" i="5" s="1"/>
  <c r="BV54" i="5" s="1"/>
  <c r="BW54" i="5" s="1"/>
  <c r="DG17" i="5"/>
  <c r="DI17" i="5" s="1"/>
  <c r="DJ17" i="5" s="1"/>
  <c r="DK17" i="5" s="1"/>
  <c r="DL17" i="5" s="1"/>
  <c r="DG54" i="5"/>
  <c r="DI54" i="5" s="1"/>
  <c r="DJ54" i="5" s="1"/>
  <c r="DK54" i="5" s="1"/>
  <c r="DL54" i="5" s="1"/>
  <c r="AZ41" i="5"/>
  <c r="BA41" i="5" s="1"/>
  <c r="BB41" i="5" s="1"/>
  <c r="BT41" i="5"/>
  <c r="BU41" i="5" s="1"/>
  <c r="BV41" i="5" s="1"/>
  <c r="BW41" i="5" s="1"/>
  <c r="BT35" i="5"/>
  <c r="BU35" i="5" s="1"/>
  <c r="BV35" i="5" s="1"/>
  <c r="BW35" i="5" s="1"/>
  <c r="DB14" i="5"/>
  <c r="CD41" i="5"/>
  <c r="DG35" i="5"/>
  <c r="DI35" i="5" s="1"/>
  <c r="DJ35" i="5" s="1"/>
  <c r="DK35" i="5" s="1"/>
  <c r="DL35" i="5" s="1"/>
  <c r="DB49" i="5"/>
  <c r="AZ26" i="5"/>
  <c r="BA26" i="5" s="1"/>
  <c r="BB26" i="5" s="1"/>
  <c r="BT26" i="5"/>
  <c r="BU26" i="5" s="1"/>
  <c r="BV26" i="5" s="1"/>
  <c r="BW26" i="5" s="1"/>
  <c r="BT38" i="5"/>
  <c r="BU38" i="5" s="1"/>
  <c r="BV38" i="5" s="1"/>
  <c r="BW38" i="5" s="1"/>
  <c r="DB16" i="5"/>
  <c r="DG26" i="5"/>
  <c r="DI26" i="5" s="1"/>
  <c r="DJ26" i="5" s="1"/>
  <c r="DK26" i="5" s="1"/>
  <c r="DL26" i="5" s="1"/>
  <c r="DG38" i="5"/>
  <c r="DI38" i="5" s="1"/>
  <c r="DJ38" i="5" s="1"/>
  <c r="DK38" i="5" s="1"/>
  <c r="DL38" i="5" s="1"/>
  <c r="DB42" i="5"/>
  <c r="CB17" i="5"/>
  <c r="CA17" i="5"/>
  <c r="CC44" i="5"/>
  <c r="CW44" i="5"/>
  <c r="DB44" i="5"/>
  <c r="CO44" i="5"/>
  <c r="CP44" i="5" s="1"/>
  <c r="CQ44" i="5" s="1"/>
  <c r="CR44" i="5" s="1"/>
  <c r="CB53" i="5"/>
  <c r="CA53" i="5"/>
  <c r="CD33" i="5"/>
  <c r="CE33" i="5" s="1"/>
  <c r="CF33" i="5" s="1"/>
  <c r="CG33" i="5" s="1"/>
  <c r="CH33" i="5" s="1"/>
  <c r="DG33" i="5"/>
  <c r="DI33" i="5" s="1"/>
  <c r="DJ33" i="5" s="1"/>
  <c r="DK33" i="5" s="1"/>
  <c r="DL33" i="5" s="1"/>
  <c r="BT33" i="5"/>
  <c r="BU33" i="5" s="1"/>
  <c r="BV33" i="5" s="1"/>
  <c r="BW33" i="5" s="1"/>
  <c r="AZ33" i="5"/>
  <c r="BA33" i="5" s="1"/>
  <c r="BB33" i="5" s="1"/>
  <c r="CA51" i="5"/>
  <c r="CB51" i="5"/>
  <c r="CC45" i="5"/>
  <c r="CW45" i="5"/>
  <c r="DB45" i="5"/>
  <c r="CO45" i="5"/>
  <c r="CP45" i="5" s="1"/>
  <c r="CQ45" i="5" s="1"/>
  <c r="CR45" i="5" s="1"/>
  <c r="CC27" i="5"/>
  <c r="CW27" i="5"/>
  <c r="DB27" i="5"/>
  <c r="CO27" i="5"/>
  <c r="CP27" i="5" s="1"/>
  <c r="CQ27" i="5" s="1"/>
  <c r="CR27" i="5" s="1"/>
  <c r="DG20" i="5"/>
  <c r="DI20" i="5" s="1"/>
  <c r="DJ20" i="5" s="1"/>
  <c r="DK20" i="5" s="1"/>
  <c r="DL20" i="5" s="1"/>
  <c r="CD20" i="5"/>
  <c r="BT20" i="5"/>
  <c r="BU20" i="5" s="1"/>
  <c r="BV20" i="5" s="1"/>
  <c r="BW20" i="5" s="1"/>
  <c r="AZ20" i="5"/>
  <c r="BA20" i="5" s="1"/>
  <c r="BB20" i="5" s="1"/>
  <c r="CW47" i="5"/>
  <c r="DB47" i="5"/>
  <c r="CO47" i="5"/>
  <c r="CP47" i="5" s="1"/>
  <c r="CQ47" i="5" s="1"/>
  <c r="CR47" i="5" s="1"/>
  <c r="CC47" i="5"/>
  <c r="CW20" i="5"/>
  <c r="CO20" i="5"/>
  <c r="CP20" i="5" s="1"/>
  <c r="CQ20" i="5" s="1"/>
  <c r="CR20" i="5" s="1"/>
  <c r="DB20" i="5"/>
  <c r="CC20" i="5"/>
  <c r="DG30" i="5"/>
  <c r="DI30" i="5" s="1"/>
  <c r="DJ30" i="5" s="1"/>
  <c r="DK30" i="5" s="1"/>
  <c r="DL30" i="5" s="1"/>
  <c r="CD30" i="5"/>
  <c r="BT30" i="5"/>
  <c r="BU30" i="5" s="1"/>
  <c r="BV30" i="5" s="1"/>
  <c r="BW30" i="5" s="1"/>
  <c r="AZ30" i="5"/>
  <c r="BA30" i="5" s="1"/>
  <c r="BB30" i="5" s="1"/>
  <c r="CB47" i="5"/>
  <c r="CA47" i="5"/>
  <c r="CA20" i="5"/>
  <c r="CB20" i="5"/>
  <c r="DB2" i="5"/>
  <c r="CW2" i="5"/>
  <c r="CO2" i="5"/>
  <c r="CP2" i="5" s="1"/>
  <c r="CQ2" i="5" s="1"/>
  <c r="CR2" i="5" s="1"/>
  <c r="CS2" i="5" s="1"/>
  <c r="CT2" i="5" s="1"/>
  <c r="CC2" i="5"/>
  <c r="CB45" i="5"/>
  <c r="CA45" i="5"/>
  <c r="AG55" i="5"/>
  <c r="AH55" i="5" s="1"/>
  <c r="BQ55" i="5"/>
  <c r="BR55" i="5" s="1"/>
  <c r="CD52" i="5"/>
  <c r="DG52" i="5"/>
  <c r="DI52" i="5" s="1"/>
  <c r="DJ52" i="5" s="1"/>
  <c r="DK52" i="5" s="1"/>
  <c r="DL52" i="5" s="1"/>
  <c r="BT52" i="5"/>
  <c r="BU52" i="5" s="1"/>
  <c r="BV52" i="5" s="1"/>
  <c r="BW52" i="5" s="1"/>
  <c r="AZ52" i="5"/>
  <c r="BA52" i="5" s="1"/>
  <c r="BB52" i="5" s="1"/>
  <c r="CC24" i="5"/>
  <c r="CW24" i="5"/>
  <c r="DB24" i="5"/>
  <c r="CO24" i="5"/>
  <c r="CP24" i="5" s="1"/>
  <c r="CQ24" i="5" s="1"/>
  <c r="CR24" i="5" s="1"/>
  <c r="CB40" i="5"/>
  <c r="CA40" i="5"/>
  <c r="CA23" i="5"/>
  <c r="CB23" i="5"/>
  <c r="AG34" i="5"/>
  <c r="AH34" i="5" s="1"/>
  <c r="BQ34" i="5"/>
  <c r="BR34" i="5" s="1"/>
  <c r="CB24" i="5"/>
  <c r="CA24" i="5"/>
  <c r="DB40" i="5"/>
  <c r="CO40" i="5"/>
  <c r="CP40" i="5" s="1"/>
  <c r="CQ40" i="5" s="1"/>
  <c r="CR40" i="5" s="1"/>
  <c r="CC40" i="5"/>
  <c r="CW40" i="5"/>
  <c r="CA6" i="5"/>
  <c r="CB6" i="5"/>
  <c r="CC8" i="5"/>
  <c r="DB8" i="5"/>
  <c r="CO8" i="5"/>
  <c r="CP8" i="5" s="1"/>
  <c r="CQ8" i="5" s="1"/>
  <c r="CR8" i="5" s="1"/>
  <c r="CW8" i="5"/>
  <c r="CC23" i="5"/>
  <c r="CW23" i="5"/>
  <c r="DB23" i="5"/>
  <c r="CO23" i="5"/>
  <c r="CP23" i="5" s="1"/>
  <c r="CQ23" i="5" s="1"/>
  <c r="CR23" i="5" s="1"/>
  <c r="CS23" i="5" s="1"/>
  <c r="CT23" i="5" s="1"/>
  <c r="CU23" i="5" s="1"/>
  <c r="AG54" i="5"/>
  <c r="AH54" i="5" s="1"/>
  <c r="BQ54" i="5"/>
  <c r="BR54" i="5" s="1"/>
  <c r="AG18" i="5"/>
  <c r="AH18" i="5" s="1"/>
  <c r="BQ18" i="5"/>
  <c r="BR18" i="5" s="1"/>
  <c r="CO3" i="5"/>
  <c r="CP3" i="5" s="1"/>
  <c r="CQ3" i="5" s="1"/>
  <c r="CR3" i="5" s="1"/>
  <c r="CS3" i="5" s="1"/>
  <c r="CT3" i="5" s="1"/>
  <c r="CU3" i="5" s="1"/>
  <c r="CC3" i="5"/>
  <c r="CW3" i="5"/>
  <c r="DB3" i="5"/>
  <c r="CC41" i="5"/>
  <c r="DB41" i="5"/>
  <c r="CO41" i="5"/>
  <c r="CP41" i="5" s="1"/>
  <c r="CQ41" i="5" s="1"/>
  <c r="CR41" i="5" s="1"/>
  <c r="CW41" i="5"/>
  <c r="CC6" i="5"/>
  <c r="DB6" i="5"/>
  <c r="CO6" i="5"/>
  <c r="CP6" i="5" s="1"/>
  <c r="CQ6" i="5" s="1"/>
  <c r="CR6" i="5" s="1"/>
  <c r="CW6" i="5"/>
  <c r="CB8" i="5"/>
  <c r="CA8" i="5"/>
  <c r="CB3" i="5"/>
  <c r="CA3" i="5"/>
  <c r="CA41" i="5"/>
  <c r="CB41" i="5"/>
  <c r="CW56" i="5"/>
  <c r="DB56" i="5"/>
  <c r="CO56" i="5"/>
  <c r="CP56" i="5" s="1"/>
  <c r="CQ56" i="5" s="1"/>
  <c r="CR56" i="5" s="1"/>
  <c r="CC56" i="5"/>
  <c r="CW55" i="5"/>
  <c r="CC55" i="5"/>
  <c r="DB55" i="5"/>
  <c r="CO55" i="5"/>
  <c r="CP55" i="5" s="1"/>
  <c r="CQ55" i="5" s="1"/>
  <c r="CR55" i="5" s="1"/>
  <c r="DG12" i="5"/>
  <c r="DI12" i="5" s="1"/>
  <c r="DJ12" i="5" s="1"/>
  <c r="DK12" i="5" s="1"/>
  <c r="DL12" i="5" s="1"/>
  <c r="CD12" i="5"/>
  <c r="BT12" i="5"/>
  <c r="BU12" i="5" s="1"/>
  <c r="BV12" i="5" s="1"/>
  <c r="BW12" i="5" s="1"/>
  <c r="AZ12" i="5"/>
  <c r="BA12" i="5" s="1"/>
  <c r="BB12" i="5" s="1"/>
  <c r="CC53" i="5"/>
  <c r="CW53" i="5"/>
  <c r="DB53" i="5"/>
  <c r="CO53" i="5"/>
  <c r="CP53" i="5" s="1"/>
  <c r="CQ53" i="5" s="1"/>
  <c r="CR53" i="5" s="1"/>
  <c r="AG35" i="5"/>
  <c r="AH35" i="5" s="1"/>
  <c r="BQ35" i="5"/>
  <c r="BR35" i="5" s="1"/>
  <c r="CB55" i="5"/>
  <c r="CA55" i="5"/>
  <c r="DG50" i="5"/>
  <c r="DI50" i="5" s="1"/>
  <c r="DJ50" i="5" s="1"/>
  <c r="DK50" i="5" s="1"/>
  <c r="DL50" i="5" s="1"/>
  <c r="CD50" i="5"/>
  <c r="BT50" i="5"/>
  <c r="BU50" i="5" s="1"/>
  <c r="BV50" i="5" s="1"/>
  <c r="BW50" i="5" s="1"/>
  <c r="AZ50" i="5"/>
  <c r="BA50" i="5" s="1"/>
  <c r="BB50" i="5" s="1"/>
  <c r="CC52" i="5"/>
  <c r="CW52" i="5"/>
  <c r="DB52" i="5"/>
  <c r="CO52" i="5"/>
  <c r="CP52" i="5" s="1"/>
  <c r="CQ52" i="5" s="1"/>
  <c r="CR52" i="5" s="1"/>
  <c r="BR2" i="5"/>
  <c r="DG37" i="5"/>
  <c r="DI37" i="5" s="1"/>
  <c r="DJ37" i="5" s="1"/>
  <c r="DK37" i="5" s="1"/>
  <c r="DL37" i="5" s="1"/>
  <c r="CD37" i="5"/>
  <c r="CE37" i="5" s="1"/>
  <c r="CF37" i="5" s="1"/>
  <c r="CG37" i="5" s="1"/>
  <c r="CH37" i="5" s="1"/>
  <c r="BT37" i="5"/>
  <c r="BU37" i="5" s="1"/>
  <c r="BV37" i="5" s="1"/>
  <c r="BW37" i="5" s="1"/>
  <c r="AZ37" i="5"/>
  <c r="BA37" i="5" s="1"/>
  <c r="BB37" i="5" s="1"/>
  <c r="CC7" i="5"/>
  <c r="DB7" i="5"/>
  <c r="CO7" i="5"/>
  <c r="CP7" i="5" s="1"/>
  <c r="CQ7" i="5" s="1"/>
  <c r="CR7" i="5" s="1"/>
  <c r="CW7" i="5"/>
  <c r="DG14" i="5"/>
  <c r="DI14" i="5" s="1"/>
  <c r="DJ14" i="5" s="1"/>
  <c r="DK14" i="5" s="1"/>
  <c r="DL14" i="5" s="1"/>
  <c r="CD14" i="5"/>
  <c r="CE14" i="5" s="1"/>
  <c r="CF14" i="5" s="1"/>
  <c r="CG14" i="5" s="1"/>
  <c r="CH14" i="5" s="1"/>
  <c r="BT14" i="5"/>
  <c r="BU14" i="5" s="1"/>
  <c r="BV14" i="5" s="1"/>
  <c r="BW14" i="5" s="1"/>
  <c r="AZ14" i="5"/>
  <c r="BA14" i="5" s="1"/>
  <c r="BB14" i="5" s="1"/>
  <c r="CA7" i="5"/>
  <c r="CB7" i="5"/>
  <c r="DB19" i="5"/>
  <c r="CA52" i="5"/>
  <c r="CB52" i="5"/>
  <c r="CC12" i="5"/>
  <c r="CW12" i="5"/>
  <c r="DB12" i="5"/>
  <c r="CO12" i="5"/>
  <c r="CP12" i="5" s="1"/>
  <c r="CQ12" i="5" s="1"/>
  <c r="CR12" i="5" s="1"/>
  <c r="CD32" i="5"/>
  <c r="CE32" i="5" s="1"/>
  <c r="CF32" i="5" s="1"/>
  <c r="CG32" i="5" s="1"/>
  <c r="CH32" i="5" s="1"/>
  <c r="DG32" i="5"/>
  <c r="DI32" i="5" s="1"/>
  <c r="DJ32" i="5" s="1"/>
  <c r="DK32" i="5" s="1"/>
  <c r="DL32" i="5" s="1"/>
  <c r="BT32" i="5"/>
  <c r="BU32" i="5" s="1"/>
  <c r="BV32" i="5" s="1"/>
  <c r="BW32" i="5" s="1"/>
  <c r="AZ32" i="5"/>
  <c r="BA32" i="5" s="1"/>
  <c r="BB32" i="5" s="1"/>
  <c r="AG53" i="5"/>
  <c r="AH53" i="5" s="1"/>
  <c r="BQ53" i="5"/>
  <c r="BR53" i="5" s="1"/>
  <c r="CA56" i="5"/>
  <c r="CB56" i="5"/>
  <c r="CC18" i="5"/>
  <c r="CW18" i="5"/>
  <c r="DB18" i="5"/>
  <c r="CO18" i="5"/>
  <c r="CP18" i="5" s="1"/>
  <c r="CQ18" i="5" s="1"/>
  <c r="CR18" i="5" s="1"/>
  <c r="CC26" i="5"/>
  <c r="CW26" i="5"/>
  <c r="DB26" i="5"/>
  <c r="CO26" i="5"/>
  <c r="CP26" i="5" s="1"/>
  <c r="CQ26" i="5" s="1"/>
  <c r="CR26" i="5" s="1"/>
  <c r="CA12" i="5"/>
  <c r="CB12" i="5"/>
  <c r="CC51" i="5"/>
  <c r="CW51" i="5"/>
  <c r="CO51" i="5"/>
  <c r="CP51" i="5" s="1"/>
  <c r="CQ51" i="5" s="1"/>
  <c r="CR51" i="5" s="1"/>
  <c r="DB51" i="5"/>
  <c r="CW50" i="5"/>
  <c r="DB50" i="5"/>
  <c r="CO50" i="5"/>
  <c r="CP50" i="5" s="1"/>
  <c r="CQ50" i="5" s="1"/>
  <c r="CR50" i="5" s="1"/>
  <c r="CC50" i="5"/>
  <c r="CA43" i="5"/>
  <c r="CB43" i="5"/>
  <c r="CB18" i="5"/>
  <c r="CA18" i="5"/>
  <c r="CB26" i="5"/>
  <c r="CA26" i="5"/>
  <c r="CW22" i="5"/>
  <c r="DB22" i="5"/>
  <c r="CO22" i="5"/>
  <c r="CP22" i="5" s="1"/>
  <c r="CQ22" i="5" s="1"/>
  <c r="CR22" i="5" s="1"/>
  <c r="CC22" i="5"/>
  <c r="AG37" i="5"/>
  <c r="AH37" i="5" s="1"/>
  <c r="BQ37" i="5"/>
  <c r="BR37" i="5" s="1"/>
  <c r="CB22" i="5"/>
  <c r="CA22" i="5"/>
  <c r="CB27" i="5"/>
  <c r="CA27" i="5"/>
  <c r="CW43" i="5"/>
  <c r="DB43" i="5"/>
  <c r="CO43" i="5"/>
  <c r="CP43" i="5" s="1"/>
  <c r="CQ43" i="5" s="1"/>
  <c r="CR43" i="5" s="1"/>
  <c r="CC43" i="5"/>
  <c r="CC54" i="5"/>
  <c r="CW54" i="5"/>
  <c r="DB54" i="5"/>
  <c r="CO54" i="5"/>
  <c r="CP54" i="5" s="1"/>
  <c r="CQ54" i="5" s="1"/>
  <c r="CR54" i="5" s="1"/>
  <c r="CA46" i="5"/>
  <c r="CB46" i="5"/>
  <c r="CB38" i="5"/>
  <c r="CA38" i="5"/>
  <c r="CO34" i="5"/>
  <c r="CP34" i="5" s="1"/>
  <c r="CQ34" i="5" s="1"/>
  <c r="CR34" i="5" s="1"/>
  <c r="CC34" i="5"/>
  <c r="CW34" i="5"/>
  <c r="DB34" i="5"/>
  <c r="CA54" i="5"/>
  <c r="CB54" i="5"/>
  <c r="CB10" i="5"/>
  <c r="CA10" i="5"/>
  <c r="CW46" i="5"/>
  <c r="CC46" i="5"/>
  <c r="DB46" i="5"/>
  <c r="CO46" i="5"/>
  <c r="CP46" i="5" s="1"/>
  <c r="CQ46" i="5" s="1"/>
  <c r="CR46" i="5" s="1"/>
  <c r="DG13" i="5"/>
  <c r="DI13" i="5" s="1"/>
  <c r="DJ13" i="5" s="1"/>
  <c r="DK13" i="5" s="1"/>
  <c r="DL13" i="5" s="1"/>
  <c r="CD13" i="5"/>
  <c r="BT13" i="5"/>
  <c r="BU13" i="5" s="1"/>
  <c r="BV13" i="5" s="1"/>
  <c r="BW13" i="5" s="1"/>
  <c r="AZ13" i="5"/>
  <c r="BA13" i="5" s="1"/>
  <c r="BB13" i="5" s="1"/>
  <c r="CC38" i="5"/>
  <c r="DB38" i="5"/>
  <c r="CO38" i="5"/>
  <c r="CP38" i="5" s="1"/>
  <c r="CQ38" i="5" s="1"/>
  <c r="CR38" i="5" s="1"/>
  <c r="CW38" i="5"/>
  <c r="CA34" i="5"/>
  <c r="CB34" i="5"/>
  <c r="CB30" i="5"/>
  <c r="CA30" i="5"/>
  <c r="DB4" i="5"/>
  <c r="CO4" i="5"/>
  <c r="CP4" i="5" s="1"/>
  <c r="CQ4" i="5" s="1"/>
  <c r="CR4" i="5" s="1"/>
  <c r="CC4" i="5"/>
  <c r="CW4" i="5"/>
  <c r="CC10" i="5"/>
  <c r="DB10" i="5"/>
  <c r="CO10" i="5"/>
  <c r="CP10" i="5" s="1"/>
  <c r="CQ10" i="5" s="1"/>
  <c r="CR10" i="5" s="1"/>
  <c r="CW10" i="5"/>
  <c r="CA28" i="5"/>
  <c r="CB28" i="5"/>
  <c r="CC30" i="5"/>
  <c r="CW30" i="5"/>
  <c r="DB30" i="5"/>
  <c r="CO30" i="5"/>
  <c r="CP30" i="5" s="1"/>
  <c r="CQ30" i="5" s="1"/>
  <c r="CR30" i="5" s="1"/>
  <c r="CA4" i="5"/>
  <c r="CB4" i="5"/>
  <c r="CB35" i="5"/>
  <c r="CA35" i="5"/>
  <c r="CC5" i="5"/>
  <c r="DB5" i="5"/>
  <c r="CO5" i="5"/>
  <c r="CP5" i="5" s="1"/>
  <c r="CQ5" i="5" s="1"/>
  <c r="CR5" i="5" s="1"/>
  <c r="CW5" i="5"/>
  <c r="CW28" i="5"/>
  <c r="CC28" i="5"/>
  <c r="DB28" i="5"/>
  <c r="CO28" i="5"/>
  <c r="CP28" i="5" s="1"/>
  <c r="CQ28" i="5" s="1"/>
  <c r="CR28" i="5" s="1"/>
  <c r="CC21" i="5"/>
  <c r="CW21" i="5"/>
  <c r="DB21" i="5"/>
  <c r="CO21" i="5"/>
  <c r="CP21" i="5" s="1"/>
  <c r="CQ21" i="5" s="1"/>
  <c r="CR21" i="5" s="1"/>
  <c r="DG55" i="5"/>
  <c r="DI55" i="5" s="1"/>
  <c r="DJ55" i="5" s="1"/>
  <c r="DK55" i="5" s="1"/>
  <c r="DL55" i="5" s="1"/>
  <c r="CD55" i="5"/>
  <c r="BT55" i="5"/>
  <c r="BU55" i="5" s="1"/>
  <c r="BV55" i="5" s="1"/>
  <c r="BW55" i="5" s="1"/>
  <c r="AZ55" i="5"/>
  <c r="BA55" i="5" s="1"/>
  <c r="BB55" i="5" s="1"/>
  <c r="CB50" i="5"/>
  <c r="CA50" i="5"/>
  <c r="CO35" i="5"/>
  <c r="CP35" i="5" s="1"/>
  <c r="CQ35" i="5" s="1"/>
  <c r="CR35" i="5" s="1"/>
  <c r="CC35" i="5"/>
  <c r="CW35" i="5"/>
  <c r="DB35" i="5"/>
  <c r="CA5" i="5"/>
  <c r="CB5" i="5"/>
  <c r="CW11" i="5"/>
  <c r="DB11" i="5"/>
  <c r="CO11" i="5"/>
  <c r="CP11" i="5" s="1"/>
  <c r="CQ11" i="5" s="1"/>
  <c r="CR11" i="5" s="1"/>
  <c r="CC11" i="5"/>
  <c r="CA21" i="5"/>
  <c r="CB21" i="5"/>
  <c r="CA2" i="5"/>
  <c r="CB2" i="5"/>
  <c r="CR19" i="5"/>
  <c r="CR16" i="5"/>
  <c r="CB11" i="5"/>
  <c r="CA11" i="5"/>
  <c r="DG48" i="5"/>
  <c r="DI48" i="5" s="1"/>
  <c r="DJ48" i="5" s="1"/>
  <c r="DK48" i="5" s="1"/>
  <c r="DL48" i="5" s="1"/>
  <c r="CD48" i="5"/>
  <c r="BT48" i="5"/>
  <c r="BU48" i="5" s="1"/>
  <c r="BV48" i="5" s="1"/>
  <c r="BW48" i="5" s="1"/>
  <c r="AZ48" i="5"/>
  <c r="BA48" i="5" s="1"/>
  <c r="BB48" i="5" s="1"/>
  <c r="CA44" i="5"/>
  <c r="CB44" i="5"/>
  <c r="CW37" i="5"/>
  <c r="CC31" i="5"/>
  <c r="CW31" i="5"/>
  <c r="CX31" i="5" s="1"/>
  <c r="CY31" i="5" s="1"/>
  <c r="CZ31" i="5" s="1"/>
  <c r="DB31" i="5"/>
  <c r="DC31" i="5" s="1"/>
  <c r="DD31" i="5" s="1"/>
  <c r="DE31" i="5" s="1"/>
  <c r="CO31" i="5"/>
  <c r="CP31" i="5" s="1"/>
  <c r="CQ31" i="5" s="1"/>
  <c r="CR31" i="5" s="1"/>
  <c r="CC9" i="5"/>
  <c r="DB9" i="5"/>
  <c r="CO9" i="5"/>
  <c r="CP9" i="5" s="1"/>
  <c r="CQ9" i="5" s="1"/>
  <c r="CR9" i="5" s="1"/>
  <c r="CW9" i="5"/>
  <c r="CB39" i="5"/>
  <c r="CA39" i="5"/>
  <c r="AG40" i="5"/>
  <c r="AH40" i="5" s="1"/>
  <c r="BQ40" i="5"/>
  <c r="BR40" i="5" s="1"/>
  <c r="AG39" i="5"/>
  <c r="AH39" i="5" s="1"/>
  <c r="BQ39" i="5"/>
  <c r="BR39" i="5" s="1"/>
  <c r="CC29" i="5"/>
  <c r="CW29" i="5"/>
  <c r="DB29" i="5"/>
  <c r="CO29" i="5"/>
  <c r="CP29" i="5" s="1"/>
  <c r="CQ29" i="5" s="1"/>
  <c r="CR29" i="5" s="1"/>
  <c r="DG42" i="5"/>
  <c r="DI42" i="5" s="1"/>
  <c r="DJ42" i="5" s="1"/>
  <c r="DK42" i="5" s="1"/>
  <c r="DL42" i="5" s="1"/>
  <c r="CD42" i="5"/>
  <c r="CE42" i="5" s="1"/>
  <c r="CF42" i="5" s="1"/>
  <c r="CG42" i="5" s="1"/>
  <c r="CH42" i="5" s="1"/>
  <c r="BT42" i="5"/>
  <c r="BU42" i="5" s="1"/>
  <c r="BV42" i="5" s="1"/>
  <c r="BW42" i="5" s="1"/>
  <c r="AZ42" i="5"/>
  <c r="BA42" i="5" s="1"/>
  <c r="BB42" i="5" s="1"/>
  <c r="DB15" i="5"/>
  <c r="CB31" i="5"/>
  <c r="CA31" i="5"/>
  <c r="CA9" i="5"/>
  <c r="CB9" i="5"/>
  <c r="CC25" i="5"/>
  <c r="CW25" i="5"/>
  <c r="DB25" i="5"/>
  <c r="CO25" i="5"/>
  <c r="CP25" i="5" s="1"/>
  <c r="CQ25" i="5" s="1"/>
  <c r="CR25" i="5" s="1"/>
  <c r="CA29" i="5"/>
  <c r="CB29" i="5"/>
  <c r="CA36" i="5"/>
  <c r="CB36" i="5"/>
  <c r="CW48" i="5"/>
  <c r="DB48" i="5"/>
  <c r="CO48" i="5"/>
  <c r="CP48" i="5" s="1"/>
  <c r="CQ48" i="5" s="1"/>
  <c r="CR48" i="5" s="1"/>
  <c r="CC48" i="5"/>
  <c r="CW17" i="5"/>
  <c r="CC17" i="5"/>
  <c r="DB17" i="5"/>
  <c r="CO17" i="5"/>
  <c r="CP17" i="5" s="1"/>
  <c r="CQ17" i="5" s="1"/>
  <c r="CR17" i="5" s="1"/>
  <c r="CA13" i="5"/>
  <c r="CB13" i="5"/>
  <c r="CW13" i="5"/>
  <c r="DB13" i="5"/>
  <c r="CO13" i="5"/>
  <c r="CP13" i="5" s="1"/>
  <c r="CQ13" i="5" s="1"/>
  <c r="CR13" i="5" s="1"/>
  <c r="CC13" i="5"/>
  <c r="CB25" i="5"/>
  <c r="CA25" i="5"/>
  <c r="DB36" i="5"/>
  <c r="CO36" i="5"/>
  <c r="CP36" i="5" s="1"/>
  <c r="CQ36" i="5" s="1"/>
  <c r="CR36" i="5" s="1"/>
  <c r="CW36" i="5"/>
  <c r="CC36" i="5"/>
  <c r="CB48" i="5"/>
  <c r="CA48" i="5"/>
  <c r="CC39" i="5"/>
  <c r="DB39" i="5"/>
  <c r="CO39" i="5"/>
  <c r="CP39" i="5" s="1"/>
  <c r="CQ39" i="5" s="1"/>
  <c r="CR39" i="5" s="1"/>
  <c r="CW39" i="5"/>
  <c r="K35" i="5"/>
  <c r="M35" i="5" s="1"/>
  <c r="CX3" i="5" l="1"/>
  <c r="CY3" i="5" s="1"/>
  <c r="CZ3" i="5" s="1"/>
  <c r="DC3" i="5"/>
  <c r="DD3" i="5" s="1"/>
  <c r="DE3" i="5" s="1"/>
  <c r="CX36" i="5"/>
  <c r="CY36" i="5" s="1"/>
  <c r="CZ36" i="5" s="1"/>
  <c r="DC16" i="5"/>
  <c r="DD16" i="5" s="1"/>
  <c r="DE16" i="5" s="1"/>
  <c r="CS16" i="5"/>
  <c r="CT16" i="5" s="1"/>
  <c r="CU16" i="5" s="1"/>
  <c r="AN45" i="5"/>
  <c r="DC23" i="5"/>
  <c r="DD23" i="5" s="1"/>
  <c r="DE23" i="5" s="1"/>
  <c r="CX7" i="5"/>
  <c r="CY7" i="5" s="1"/>
  <c r="CZ7" i="5" s="1"/>
  <c r="CX2" i="5"/>
  <c r="CY2" i="5" s="1"/>
  <c r="CX23" i="5"/>
  <c r="CY23" i="5" s="1"/>
  <c r="CZ23" i="5" s="1"/>
  <c r="CX47" i="5"/>
  <c r="CY47" i="5" s="1"/>
  <c r="CZ47" i="5" s="1"/>
  <c r="DC46" i="5"/>
  <c r="DD46" i="5" s="1"/>
  <c r="DE46" i="5" s="1"/>
  <c r="CX46" i="5"/>
  <c r="CY46" i="5" s="1"/>
  <c r="CZ46" i="5" s="1"/>
  <c r="DC47" i="5"/>
  <c r="DD47" i="5" s="1"/>
  <c r="DE47" i="5" s="1"/>
  <c r="BJ12" i="5"/>
  <c r="BK12" i="5" s="1"/>
  <c r="BL12" i="5" s="1"/>
  <c r="BM12" i="5" s="1"/>
  <c r="CS46" i="5"/>
  <c r="CT46" i="5" s="1"/>
  <c r="CU46" i="5" s="1"/>
  <c r="DC36" i="5"/>
  <c r="DD36" i="5" s="1"/>
  <c r="DE36" i="5" s="1"/>
  <c r="CS7" i="5"/>
  <c r="CT7" i="5" s="1"/>
  <c r="CU7" i="5" s="1"/>
  <c r="DC29" i="5"/>
  <c r="DD29" i="5" s="1"/>
  <c r="DE29" i="5" s="1"/>
  <c r="CS47" i="5"/>
  <c r="CT47" i="5" s="1"/>
  <c r="CU47" i="5" s="1"/>
  <c r="DC49" i="5"/>
  <c r="DD49" i="5" s="1"/>
  <c r="DE49" i="5" s="1"/>
  <c r="CS29" i="5"/>
  <c r="CT29" i="5" s="1"/>
  <c r="CU29" i="5" s="1"/>
  <c r="CS36" i="5"/>
  <c r="CT36" i="5" s="1"/>
  <c r="CU36" i="5" s="1"/>
  <c r="CS49" i="5"/>
  <c r="CT49" i="5" s="1"/>
  <c r="CU49" i="5" s="1"/>
  <c r="CX29" i="5"/>
  <c r="CY29" i="5" s="1"/>
  <c r="CZ29" i="5" s="1"/>
  <c r="CX49" i="5"/>
  <c r="CY49" i="5" s="1"/>
  <c r="CZ49" i="5" s="1"/>
  <c r="CS31" i="5"/>
  <c r="CT31" i="5" s="1"/>
  <c r="CU31" i="5" s="1"/>
  <c r="CX16" i="5"/>
  <c r="CY16" i="5" s="1"/>
  <c r="CZ16" i="5" s="1"/>
  <c r="AN48" i="5"/>
  <c r="BJ25" i="5"/>
  <c r="BK25" i="5" s="1"/>
  <c r="BL25" i="5" s="1"/>
  <c r="BM25" i="5" s="1"/>
  <c r="CS9" i="5"/>
  <c r="CT9" i="5" s="1"/>
  <c r="CU9" i="5" s="1"/>
  <c r="AN33" i="5"/>
  <c r="DC9" i="5"/>
  <c r="DD9" i="5" s="1"/>
  <c r="DE9" i="5" s="1"/>
  <c r="DC7" i="5"/>
  <c r="DD7" i="5" s="1"/>
  <c r="DE7" i="5" s="1"/>
  <c r="BJ16" i="5"/>
  <c r="BK16" i="5" s="1"/>
  <c r="BL16" i="5" s="1"/>
  <c r="BM16" i="5" s="1"/>
  <c r="DC34" i="5"/>
  <c r="DD34" i="5" s="1"/>
  <c r="DE34" i="5" s="1"/>
  <c r="CX34" i="5"/>
  <c r="CY34" i="5" s="1"/>
  <c r="CZ34" i="5" s="1"/>
  <c r="BJ56" i="5"/>
  <c r="BK56" i="5" s="1"/>
  <c r="BL56" i="5" s="1"/>
  <c r="BM56" i="5" s="1"/>
  <c r="CS34" i="5"/>
  <c r="CT34" i="5" s="1"/>
  <c r="CU34" i="5" s="1"/>
  <c r="CX9" i="5"/>
  <c r="CY9" i="5" s="1"/>
  <c r="CZ9" i="5" s="1"/>
  <c r="CX6" i="5"/>
  <c r="CY6" i="5" s="1"/>
  <c r="CZ6" i="5" s="1"/>
  <c r="CS6" i="5"/>
  <c r="CT6" i="5" s="1"/>
  <c r="CU6" i="5" s="1"/>
  <c r="CX19" i="5"/>
  <c r="CY19" i="5" s="1"/>
  <c r="CZ19" i="5" s="1"/>
  <c r="BJ30" i="5"/>
  <c r="BK30" i="5" s="1"/>
  <c r="BL30" i="5" s="1"/>
  <c r="BM30" i="5" s="1"/>
  <c r="BJ51" i="5"/>
  <c r="BK51" i="5" s="1"/>
  <c r="BL51" i="5" s="1"/>
  <c r="BM51" i="5" s="1"/>
  <c r="DC2" i="5"/>
  <c r="DD2" i="5" s="1"/>
  <c r="DE2" i="5" s="1"/>
  <c r="DC19" i="5"/>
  <c r="DD19" i="5" s="1"/>
  <c r="DE19" i="5" s="1"/>
  <c r="DC38" i="5"/>
  <c r="DD38" i="5" s="1"/>
  <c r="DE38" i="5" s="1"/>
  <c r="AN12" i="5"/>
  <c r="CS19" i="5"/>
  <c r="CT19" i="5" s="1"/>
  <c r="CU19" i="5" s="1"/>
  <c r="BJ5" i="5"/>
  <c r="BK5" i="5" s="1"/>
  <c r="BL5" i="5" s="1"/>
  <c r="BM5" i="5" s="1"/>
  <c r="CS21" i="5"/>
  <c r="CT21" i="5" s="1"/>
  <c r="CU21" i="5" s="1"/>
  <c r="CS18" i="5"/>
  <c r="CT18" i="5" s="1"/>
  <c r="CU18" i="5" s="1"/>
  <c r="DC18" i="5"/>
  <c r="DD18" i="5" s="1"/>
  <c r="DE18" i="5" s="1"/>
  <c r="CS45" i="5"/>
  <c r="CT45" i="5" s="1"/>
  <c r="CU45" i="5" s="1"/>
  <c r="CX21" i="5"/>
  <c r="CY21" i="5" s="1"/>
  <c r="CZ21" i="5" s="1"/>
  <c r="CX38" i="5"/>
  <c r="CY38" i="5" s="1"/>
  <c r="CZ38" i="5" s="1"/>
  <c r="DC21" i="5"/>
  <c r="DD21" i="5" s="1"/>
  <c r="DE21" i="5" s="1"/>
  <c r="CX43" i="5"/>
  <c r="CY43" i="5" s="1"/>
  <c r="CZ43" i="5" s="1"/>
  <c r="CS38" i="5"/>
  <c r="CT38" i="5" s="1"/>
  <c r="CU38" i="5" s="1"/>
  <c r="BJ2" i="5"/>
  <c r="BK2" i="5" s="1"/>
  <c r="AN9" i="5"/>
  <c r="CS52" i="5"/>
  <c r="CT52" i="5" s="1"/>
  <c r="CU52" i="5" s="1"/>
  <c r="CE24" i="5"/>
  <c r="CF24" i="5" s="1"/>
  <c r="CG24" i="5" s="1"/>
  <c r="CH24" i="5" s="1"/>
  <c r="CS44" i="5"/>
  <c r="CT44" i="5" s="1"/>
  <c r="CU44" i="5" s="1"/>
  <c r="BJ20" i="5"/>
  <c r="BK20" i="5" s="1"/>
  <c r="BL20" i="5" s="1"/>
  <c r="BM20" i="5" s="1"/>
  <c r="CS22" i="5"/>
  <c r="CT22" i="5" s="1"/>
  <c r="CU22" i="5" s="1"/>
  <c r="DC22" i="5"/>
  <c r="DD22" i="5" s="1"/>
  <c r="DE22" i="5" s="1"/>
  <c r="DC6" i="5"/>
  <c r="DD6" i="5" s="1"/>
  <c r="DE6" i="5" s="1"/>
  <c r="CX22" i="5"/>
  <c r="CY22" i="5" s="1"/>
  <c r="CZ22" i="5" s="1"/>
  <c r="CS20" i="5"/>
  <c r="CT20" i="5" s="1"/>
  <c r="CU20" i="5" s="1"/>
  <c r="BJ33" i="5"/>
  <c r="BK33" i="5" s="1"/>
  <c r="BL33" i="5" s="1"/>
  <c r="BM33" i="5" s="1"/>
  <c r="AN46" i="5"/>
  <c r="BJ50" i="5"/>
  <c r="BK50" i="5" s="1"/>
  <c r="BL50" i="5" s="1"/>
  <c r="BM50" i="5" s="1"/>
  <c r="BJ55" i="5"/>
  <c r="BK55" i="5" s="1"/>
  <c r="BL55" i="5" s="1"/>
  <c r="BM55" i="5" s="1"/>
  <c r="CS26" i="5"/>
  <c r="CT26" i="5" s="1"/>
  <c r="CU26" i="5" s="1"/>
  <c r="CX26" i="5"/>
  <c r="CY26" i="5" s="1"/>
  <c r="CZ26" i="5" s="1"/>
  <c r="CX8" i="5"/>
  <c r="CY8" i="5" s="1"/>
  <c r="CZ8" i="5" s="1"/>
  <c r="AN44" i="5"/>
  <c r="CS8" i="5"/>
  <c r="CT8" i="5" s="1"/>
  <c r="CU8" i="5" s="1"/>
  <c r="CS56" i="5"/>
  <c r="CT56" i="5" s="1"/>
  <c r="CU56" i="5" s="1"/>
  <c r="DC8" i="5"/>
  <c r="DD8" i="5" s="1"/>
  <c r="DE8" i="5" s="1"/>
  <c r="DC56" i="5"/>
  <c r="DD56" i="5" s="1"/>
  <c r="DE56" i="5" s="1"/>
  <c r="CX56" i="5"/>
  <c r="CY56" i="5" s="1"/>
  <c r="CZ56" i="5" s="1"/>
  <c r="BJ13" i="5"/>
  <c r="BK13" i="5" s="1"/>
  <c r="BL13" i="5" s="1"/>
  <c r="BM13" i="5" s="1"/>
  <c r="AN11" i="5"/>
  <c r="AN15" i="5"/>
  <c r="CS39" i="5"/>
  <c r="CT39" i="5" s="1"/>
  <c r="CU39" i="5" s="1"/>
  <c r="AN43" i="5"/>
  <c r="AN7" i="5"/>
  <c r="CX39" i="5"/>
  <c r="CY39" i="5" s="1"/>
  <c r="CZ39" i="5" s="1"/>
  <c r="DC39" i="5"/>
  <c r="DD39" i="5" s="1"/>
  <c r="DE39" i="5" s="1"/>
  <c r="AN41" i="5"/>
  <c r="DC15" i="5"/>
  <c r="DD15" i="5" s="1"/>
  <c r="DE15" i="5" s="1"/>
  <c r="CS11" i="5"/>
  <c r="CT11" i="5" s="1"/>
  <c r="CU11" i="5" s="1"/>
  <c r="DC20" i="5"/>
  <c r="DD20" i="5" s="1"/>
  <c r="DE20" i="5" s="1"/>
  <c r="AN16" i="5"/>
  <c r="AN19" i="5"/>
  <c r="AN13" i="5"/>
  <c r="CX18" i="5"/>
  <c r="CY18" i="5" s="1"/>
  <c r="CZ18" i="5" s="1"/>
  <c r="AN29" i="5"/>
  <c r="CX11" i="5"/>
  <c r="CY11" i="5" s="1"/>
  <c r="CZ11" i="5" s="1"/>
  <c r="CX20" i="5"/>
  <c r="CY20" i="5" s="1"/>
  <c r="CZ20" i="5" s="1"/>
  <c r="DC11" i="5"/>
  <c r="DD11" i="5" s="1"/>
  <c r="DE11" i="5" s="1"/>
  <c r="DC45" i="5"/>
  <c r="DD45" i="5" s="1"/>
  <c r="DE45" i="5" s="1"/>
  <c r="CX10" i="5"/>
  <c r="CY10" i="5" s="1"/>
  <c r="CZ10" i="5" s="1"/>
  <c r="CX45" i="5"/>
  <c r="CY45" i="5" s="1"/>
  <c r="CZ45" i="5" s="1"/>
  <c r="CS10" i="5"/>
  <c r="CT10" i="5" s="1"/>
  <c r="CU10" i="5" s="1"/>
  <c r="AN4" i="5"/>
  <c r="CS27" i="5"/>
  <c r="CT27" i="5" s="1"/>
  <c r="CU27" i="5" s="1"/>
  <c r="CX40" i="5"/>
  <c r="CY40" i="5" s="1"/>
  <c r="CZ40" i="5" s="1"/>
  <c r="DC10" i="5"/>
  <c r="DD10" i="5" s="1"/>
  <c r="DE10" i="5" s="1"/>
  <c r="DC27" i="5"/>
  <c r="DD27" i="5" s="1"/>
  <c r="DE27" i="5" s="1"/>
  <c r="CX27" i="5"/>
  <c r="CY27" i="5" s="1"/>
  <c r="CZ27" i="5" s="1"/>
  <c r="DC26" i="5"/>
  <c r="DD26" i="5" s="1"/>
  <c r="DE26" i="5" s="1"/>
  <c r="DC43" i="5"/>
  <c r="DD43" i="5" s="1"/>
  <c r="DE43" i="5" s="1"/>
  <c r="BJ19" i="5"/>
  <c r="BK19" i="5" s="1"/>
  <c r="BL19" i="5" s="1"/>
  <c r="BM19" i="5" s="1"/>
  <c r="DC13" i="5"/>
  <c r="DD13" i="5" s="1"/>
  <c r="DE13" i="5" s="1"/>
  <c r="AN8" i="5"/>
  <c r="BJ52" i="5"/>
  <c r="BK52" i="5" s="1"/>
  <c r="BL52" i="5" s="1"/>
  <c r="BM52" i="5" s="1"/>
  <c r="BJ48" i="5"/>
  <c r="BK48" i="5" s="1"/>
  <c r="BL48" i="5" s="1"/>
  <c r="BM48" i="5" s="1"/>
  <c r="DC40" i="5"/>
  <c r="DD40" i="5" s="1"/>
  <c r="DE40" i="5" s="1"/>
  <c r="BJ46" i="5"/>
  <c r="BK46" i="5" s="1"/>
  <c r="BL46" i="5" s="1"/>
  <c r="BM46" i="5" s="1"/>
  <c r="DC44" i="5"/>
  <c r="DD44" i="5" s="1"/>
  <c r="DE44" i="5" s="1"/>
  <c r="CX44" i="5"/>
  <c r="CY44" i="5" s="1"/>
  <c r="CZ44" i="5" s="1"/>
  <c r="CX13" i="5"/>
  <c r="CY13" i="5" s="1"/>
  <c r="CZ13" i="5" s="1"/>
  <c r="CS13" i="5"/>
  <c r="CT13" i="5" s="1"/>
  <c r="CU13" i="5" s="1"/>
  <c r="DC51" i="5"/>
  <c r="DD51" i="5" s="1"/>
  <c r="DE51" i="5" s="1"/>
  <c r="CX15" i="5"/>
  <c r="CY15" i="5" s="1"/>
  <c r="CZ15" i="5" s="1"/>
  <c r="AN17" i="5"/>
  <c r="BJ49" i="5"/>
  <c r="BK49" i="5" s="1"/>
  <c r="BL49" i="5" s="1"/>
  <c r="BM49" i="5" s="1"/>
  <c r="CS51" i="5"/>
  <c r="CT51" i="5" s="1"/>
  <c r="CU51" i="5" s="1"/>
  <c r="CS53" i="5"/>
  <c r="CT53" i="5" s="1"/>
  <c r="CU53" i="5" s="1"/>
  <c r="CS54" i="5"/>
  <c r="CT54" i="5" s="1"/>
  <c r="CU54" i="5" s="1"/>
  <c r="DC53" i="5"/>
  <c r="DD53" i="5" s="1"/>
  <c r="DE53" i="5" s="1"/>
  <c r="CS35" i="5"/>
  <c r="CT35" i="5" s="1"/>
  <c r="CU35" i="5" s="1"/>
  <c r="CX53" i="5"/>
  <c r="CY53" i="5" s="1"/>
  <c r="CZ53" i="5" s="1"/>
  <c r="CS4" i="5"/>
  <c r="CT4" i="5" s="1"/>
  <c r="CU4" i="5" s="1"/>
  <c r="CS24" i="5"/>
  <c r="CT24" i="5" s="1"/>
  <c r="CU24" i="5" s="1"/>
  <c r="CS25" i="5"/>
  <c r="CT25" i="5" s="1"/>
  <c r="CU25" i="5" s="1"/>
  <c r="DC24" i="5"/>
  <c r="DD24" i="5" s="1"/>
  <c r="DE24" i="5" s="1"/>
  <c r="CS5" i="5"/>
  <c r="CT5" i="5" s="1"/>
  <c r="CU5" i="5" s="1"/>
  <c r="CX51" i="5"/>
  <c r="CY51" i="5" s="1"/>
  <c r="CZ51" i="5" s="1"/>
  <c r="DC25" i="5"/>
  <c r="DD25" i="5" s="1"/>
  <c r="DE25" i="5" s="1"/>
  <c r="CX25" i="5"/>
  <c r="CY25" i="5" s="1"/>
  <c r="CZ25" i="5" s="1"/>
  <c r="DC4" i="5"/>
  <c r="DD4" i="5" s="1"/>
  <c r="DE4" i="5" s="1"/>
  <c r="CX24" i="5"/>
  <c r="CY24" i="5" s="1"/>
  <c r="CZ24" i="5" s="1"/>
  <c r="CS40" i="5"/>
  <c r="CT40" i="5" s="1"/>
  <c r="CU40" i="5" s="1"/>
  <c r="CS43" i="5"/>
  <c r="CT43" i="5" s="1"/>
  <c r="CU43" i="5" s="1"/>
  <c r="CX4" i="5"/>
  <c r="CY4" i="5" s="1"/>
  <c r="CZ4" i="5" s="1"/>
  <c r="CX37" i="5"/>
  <c r="CY37" i="5" s="1"/>
  <c r="CZ37" i="5" s="1"/>
  <c r="AN32" i="5"/>
  <c r="CS15" i="5"/>
  <c r="CT15" i="5" s="1"/>
  <c r="CU15" i="5" s="1"/>
  <c r="AN2" i="5"/>
  <c r="AL35" i="5"/>
  <c r="AM35" i="5"/>
  <c r="AN27" i="5"/>
  <c r="AN49" i="5"/>
  <c r="DC33" i="5"/>
  <c r="DD33" i="5" s="1"/>
  <c r="DE33" i="5" s="1"/>
  <c r="AM34" i="5"/>
  <c r="AL34" i="5"/>
  <c r="CE31" i="5"/>
  <c r="CF31" i="5" s="1"/>
  <c r="CG31" i="5" s="1"/>
  <c r="CH31" i="5" s="1"/>
  <c r="BJ15" i="5"/>
  <c r="BK15" i="5" s="1"/>
  <c r="BL15" i="5" s="1"/>
  <c r="BM15" i="5" s="1"/>
  <c r="BJ54" i="5"/>
  <c r="BK54" i="5" s="1"/>
  <c r="BL54" i="5" s="1"/>
  <c r="BM54" i="5" s="1"/>
  <c r="AN36" i="5"/>
  <c r="CX5" i="5"/>
  <c r="CY5" i="5" s="1"/>
  <c r="CZ5" i="5" s="1"/>
  <c r="AN21" i="5"/>
  <c r="CE6" i="5"/>
  <c r="CF6" i="5" s="1"/>
  <c r="CG6" i="5" s="1"/>
  <c r="CH6" i="5" s="1"/>
  <c r="AN24" i="5"/>
  <c r="AN47" i="5"/>
  <c r="DC41" i="5"/>
  <c r="DD41" i="5" s="1"/>
  <c r="DE41" i="5" s="1"/>
  <c r="DC5" i="5"/>
  <c r="DD5" i="5" s="1"/>
  <c r="DE5" i="5" s="1"/>
  <c r="AN51" i="5"/>
  <c r="CS50" i="5"/>
  <c r="CT50" i="5" s="1"/>
  <c r="CU50" i="5" s="1"/>
  <c r="CX41" i="5"/>
  <c r="CY41" i="5" s="1"/>
  <c r="CZ41" i="5" s="1"/>
  <c r="CS41" i="5"/>
  <c r="CT41" i="5" s="1"/>
  <c r="CU41" i="5" s="1"/>
  <c r="AL18" i="5"/>
  <c r="AM18" i="5"/>
  <c r="AN25" i="5"/>
  <c r="AN50" i="5"/>
  <c r="AN31" i="5"/>
  <c r="AN52" i="5"/>
  <c r="AN26" i="5"/>
  <c r="CX54" i="5"/>
  <c r="CY54" i="5" s="1"/>
  <c r="CZ54" i="5" s="1"/>
  <c r="DC17" i="5"/>
  <c r="DD17" i="5" s="1"/>
  <c r="DE17" i="5" s="1"/>
  <c r="CE4" i="5"/>
  <c r="CF4" i="5" s="1"/>
  <c r="CG4" i="5" s="1"/>
  <c r="CH4" i="5" s="1"/>
  <c r="BJ43" i="5"/>
  <c r="BK43" i="5" s="1"/>
  <c r="BL43" i="5" s="1"/>
  <c r="BM43" i="5" s="1"/>
  <c r="AN10" i="5"/>
  <c r="AN38" i="5"/>
  <c r="BJ26" i="5"/>
  <c r="BK26" i="5" s="1"/>
  <c r="BL26" i="5" s="1"/>
  <c r="BM26" i="5" s="1"/>
  <c r="AN23" i="5"/>
  <c r="CS28" i="5"/>
  <c r="CT28" i="5" s="1"/>
  <c r="CU28" i="5" s="1"/>
  <c r="CX17" i="5"/>
  <c r="CY17" i="5" s="1"/>
  <c r="CZ17" i="5" s="1"/>
  <c r="CS30" i="5"/>
  <c r="CT30" i="5" s="1"/>
  <c r="CU30" i="5" s="1"/>
  <c r="CX33" i="5"/>
  <c r="CY33" i="5" s="1"/>
  <c r="CZ33" i="5" s="1"/>
  <c r="AM37" i="5"/>
  <c r="AL37" i="5"/>
  <c r="AL54" i="5"/>
  <c r="AM54" i="5"/>
  <c r="DC54" i="5"/>
  <c r="DD54" i="5" s="1"/>
  <c r="DE54" i="5" s="1"/>
  <c r="CE12" i="5"/>
  <c r="CF12" i="5" s="1"/>
  <c r="CG12" i="5" s="1"/>
  <c r="CH12" i="5" s="1"/>
  <c r="CX28" i="5"/>
  <c r="CY28" i="5" s="1"/>
  <c r="CZ28" i="5" s="1"/>
  <c r="AM39" i="5"/>
  <c r="AL39" i="5"/>
  <c r="CS48" i="5"/>
  <c r="CT48" i="5" s="1"/>
  <c r="CU48" i="5" s="1"/>
  <c r="AN42" i="5"/>
  <c r="AL53" i="5"/>
  <c r="AM53" i="5"/>
  <c r="AN22" i="5"/>
  <c r="CS17" i="5"/>
  <c r="CT17" i="5" s="1"/>
  <c r="CU17" i="5" s="1"/>
  <c r="DC30" i="5"/>
  <c r="DD30" i="5" s="1"/>
  <c r="DE30" i="5" s="1"/>
  <c r="CX30" i="5"/>
  <c r="CY30" i="5" s="1"/>
  <c r="CZ30" i="5" s="1"/>
  <c r="CE54" i="5"/>
  <c r="CF54" i="5" s="1"/>
  <c r="CG54" i="5" s="1"/>
  <c r="CH54" i="5" s="1"/>
  <c r="AN28" i="5"/>
  <c r="AN20" i="5"/>
  <c r="DC28" i="5"/>
  <c r="DD28" i="5" s="1"/>
  <c r="DE28" i="5" s="1"/>
  <c r="AN30" i="5"/>
  <c r="AN56" i="5"/>
  <c r="CE10" i="5"/>
  <c r="CF10" i="5" s="1"/>
  <c r="CG10" i="5" s="1"/>
  <c r="CH10" i="5" s="1"/>
  <c r="AL40" i="5"/>
  <c r="AM40" i="5"/>
  <c r="CE28" i="5"/>
  <c r="CF28" i="5" s="1"/>
  <c r="CG28" i="5" s="1"/>
  <c r="CH28" i="5" s="1"/>
  <c r="DC35" i="5"/>
  <c r="DD35" i="5" s="1"/>
  <c r="DE35" i="5" s="1"/>
  <c r="CE41" i="5"/>
  <c r="CF41" i="5" s="1"/>
  <c r="CG41" i="5" s="1"/>
  <c r="CH41" i="5" s="1"/>
  <c r="AL55" i="5"/>
  <c r="AM55" i="5"/>
  <c r="DC14" i="5"/>
  <c r="DD14" i="5" s="1"/>
  <c r="DE14" i="5" s="1"/>
  <c r="AN3" i="5"/>
  <c r="AN5" i="5"/>
  <c r="CX35" i="5"/>
  <c r="CY35" i="5" s="1"/>
  <c r="CZ35" i="5" s="1"/>
  <c r="CE45" i="5"/>
  <c r="CF45" i="5" s="1"/>
  <c r="CG45" i="5" s="1"/>
  <c r="CH45" i="5" s="1"/>
  <c r="AN6" i="5"/>
  <c r="BJ22" i="5"/>
  <c r="BK22" i="5" s="1"/>
  <c r="BL22" i="5" s="1"/>
  <c r="BM22" i="5" s="1"/>
  <c r="BJ11" i="5"/>
  <c r="BK11" i="5" s="1"/>
  <c r="BL11" i="5" s="1"/>
  <c r="BM11" i="5" s="1"/>
  <c r="BJ14" i="5"/>
  <c r="BK14" i="5" s="1"/>
  <c r="BL14" i="5" s="1"/>
  <c r="BM14" i="5" s="1"/>
  <c r="BJ41" i="5"/>
  <c r="BK41" i="5" s="1"/>
  <c r="BL41" i="5" s="1"/>
  <c r="BM41" i="5" s="1"/>
  <c r="BJ31" i="5"/>
  <c r="BK31" i="5" s="1"/>
  <c r="BL31" i="5" s="1"/>
  <c r="BM31" i="5" s="1"/>
  <c r="BJ38" i="5"/>
  <c r="BK38" i="5" s="1"/>
  <c r="BL38" i="5" s="1"/>
  <c r="BM38" i="5" s="1"/>
  <c r="BJ4" i="5"/>
  <c r="BK4" i="5" s="1"/>
  <c r="BL4" i="5" s="1"/>
  <c r="BM4" i="5" s="1"/>
  <c r="BJ32" i="5"/>
  <c r="BK32" i="5" s="1"/>
  <c r="BL32" i="5" s="1"/>
  <c r="BM32" i="5" s="1"/>
  <c r="BJ3" i="5"/>
  <c r="BK3" i="5" s="1"/>
  <c r="BL3" i="5" s="1"/>
  <c r="BM3" i="5" s="1"/>
  <c r="BJ29" i="5"/>
  <c r="BK29" i="5" s="1"/>
  <c r="BL29" i="5" s="1"/>
  <c r="BM29" i="5" s="1"/>
  <c r="BJ18" i="5"/>
  <c r="BK18" i="5" s="1"/>
  <c r="BL18" i="5" s="1"/>
  <c r="BM18" i="5" s="1"/>
  <c r="BJ42" i="5"/>
  <c r="BK42" i="5" s="1"/>
  <c r="BL42" i="5" s="1"/>
  <c r="BM42" i="5" s="1"/>
  <c r="BJ27" i="5"/>
  <c r="BK27" i="5" s="1"/>
  <c r="BL27" i="5" s="1"/>
  <c r="BM27" i="5" s="1"/>
  <c r="BJ37" i="5"/>
  <c r="BK37" i="5" s="1"/>
  <c r="BL37" i="5" s="1"/>
  <c r="BM37" i="5" s="1"/>
  <c r="DC37" i="5"/>
  <c r="DD37" i="5" s="1"/>
  <c r="DE37" i="5" s="1"/>
  <c r="BJ7" i="5"/>
  <c r="BK7" i="5" s="1"/>
  <c r="BL7" i="5" s="1"/>
  <c r="BM7" i="5" s="1"/>
  <c r="BJ45" i="5"/>
  <c r="BK45" i="5" s="1"/>
  <c r="BL45" i="5" s="1"/>
  <c r="BM45" i="5" s="1"/>
  <c r="BJ9" i="5"/>
  <c r="BK9" i="5" s="1"/>
  <c r="BL9" i="5" s="1"/>
  <c r="BM9" i="5" s="1"/>
  <c r="BJ8" i="5"/>
  <c r="BK8" i="5" s="1"/>
  <c r="BL8" i="5" s="1"/>
  <c r="BM8" i="5" s="1"/>
  <c r="BJ39" i="5"/>
  <c r="BK39" i="5" s="1"/>
  <c r="BL39" i="5" s="1"/>
  <c r="BM39" i="5" s="1"/>
  <c r="BJ28" i="5"/>
  <c r="BK28" i="5" s="1"/>
  <c r="BL28" i="5" s="1"/>
  <c r="BM28" i="5" s="1"/>
  <c r="CE20" i="5"/>
  <c r="CF20" i="5" s="1"/>
  <c r="CG20" i="5" s="1"/>
  <c r="CH20" i="5" s="1"/>
  <c r="CE50" i="5"/>
  <c r="CF50" i="5" s="1"/>
  <c r="CG50" i="5" s="1"/>
  <c r="CH50" i="5" s="1"/>
  <c r="CE44" i="5"/>
  <c r="CF44" i="5" s="1"/>
  <c r="CG44" i="5" s="1"/>
  <c r="CH44" i="5" s="1"/>
  <c r="CE23" i="5"/>
  <c r="CF23" i="5" s="1"/>
  <c r="CG23" i="5" s="1"/>
  <c r="CH23" i="5" s="1"/>
  <c r="CE40" i="5"/>
  <c r="CF40" i="5" s="1"/>
  <c r="CG40" i="5" s="1"/>
  <c r="CH40" i="5" s="1"/>
  <c r="CE13" i="5"/>
  <c r="CF13" i="5" s="1"/>
  <c r="CG13" i="5" s="1"/>
  <c r="CH13" i="5" s="1"/>
  <c r="CS12" i="5"/>
  <c r="CT12" i="5" s="1"/>
  <c r="CU12" i="5" s="1"/>
  <c r="CE43" i="5"/>
  <c r="CF43" i="5" s="1"/>
  <c r="CG43" i="5" s="1"/>
  <c r="CH43" i="5" s="1"/>
  <c r="DC12" i="5"/>
  <c r="DD12" i="5" s="1"/>
  <c r="DE12" i="5" s="1"/>
  <c r="CX12" i="5"/>
  <c r="CY12" i="5" s="1"/>
  <c r="CZ12" i="5" s="1"/>
  <c r="DC48" i="5"/>
  <c r="DD48" i="5" s="1"/>
  <c r="DE48" i="5" s="1"/>
  <c r="CX48" i="5"/>
  <c r="CY48" i="5" s="1"/>
  <c r="CZ48" i="5" s="1"/>
  <c r="CE36" i="5"/>
  <c r="CF36" i="5" s="1"/>
  <c r="CG36" i="5" s="1"/>
  <c r="CH36" i="5" s="1"/>
  <c r="CX50" i="5"/>
  <c r="CY50" i="5" s="1"/>
  <c r="CZ50" i="5" s="1"/>
  <c r="DC50" i="5"/>
  <c r="DD50" i="5" s="1"/>
  <c r="DE50" i="5" s="1"/>
  <c r="CE27" i="5"/>
  <c r="CF27" i="5" s="1"/>
  <c r="CG27" i="5" s="1"/>
  <c r="CH27" i="5" s="1"/>
  <c r="CU2" i="5"/>
  <c r="DL57" i="5"/>
  <c r="CE55" i="5"/>
  <c r="CF55" i="5" s="1"/>
  <c r="CG55" i="5" s="1"/>
  <c r="CH55" i="5" s="1"/>
  <c r="CE22" i="5"/>
  <c r="CF22" i="5" s="1"/>
  <c r="CG22" i="5" s="1"/>
  <c r="CH22" i="5" s="1"/>
  <c r="CE3" i="5"/>
  <c r="CF3" i="5" s="1"/>
  <c r="CG3" i="5" s="1"/>
  <c r="CH3" i="5" s="1"/>
  <c r="CZ2" i="5"/>
  <c r="BA58" i="5"/>
  <c r="BA59" i="5"/>
  <c r="CE52" i="5"/>
  <c r="CF52" i="5" s="1"/>
  <c r="CG52" i="5" s="1"/>
  <c r="CH52" i="5" s="1"/>
  <c r="BB57" i="5"/>
  <c r="CE51" i="5"/>
  <c r="CF51" i="5" s="1"/>
  <c r="CG51" i="5" s="1"/>
  <c r="CH51" i="5" s="1"/>
  <c r="BA57" i="5"/>
  <c r="CE47" i="5"/>
  <c r="CF47" i="5" s="1"/>
  <c r="CG47" i="5" s="1"/>
  <c r="CH47" i="5" s="1"/>
  <c r="CE8" i="5"/>
  <c r="CF8" i="5" s="1"/>
  <c r="CG8" i="5" s="1"/>
  <c r="CH8" i="5" s="1"/>
  <c r="CE7" i="5"/>
  <c r="CF7" i="5" s="1"/>
  <c r="CG7" i="5" s="1"/>
  <c r="CH7" i="5" s="1"/>
  <c r="DC42" i="5"/>
  <c r="DD42" i="5" s="1"/>
  <c r="DE42" i="5" s="1"/>
  <c r="DK59" i="5"/>
  <c r="CE38" i="5"/>
  <c r="CF38" i="5" s="1"/>
  <c r="CG38" i="5" s="1"/>
  <c r="CH38" i="5" s="1"/>
  <c r="CE53" i="5"/>
  <c r="CF53" i="5" s="1"/>
  <c r="CG53" i="5" s="1"/>
  <c r="CH53" i="5" s="1"/>
  <c r="DC32" i="5"/>
  <c r="DD32" i="5" s="1"/>
  <c r="DE32" i="5" s="1"/>
  <c r="CS37" i="5"/>
  <c r="CT37" i="5" s="1"/>
  <c r="CU37" i="5" s="1"/>
  <c r="BQ57" i="5"/>
  <c r="BV57" i="5"/>
  <c r="CE30" i="5"/>
  <c r="CF30" i="5" s="1"/>
  <c r="CG30" i="5" s="1"/>
  <c r="CH30" i="5" s="1"/>
  <c r="BQ59" i="5"/>
  <c r="BV58" i="5"/>
  <c r="BQ58" i="5"/>
  <c r="BV59" i="5"/>
  <c r="CE29" i="5"/>
  <c r="CF29" i="5" s="1"/>
  <c r="CG29" i="5" s="1"/>
  <c r="CH29" i="5" s="1"/>
  <c r="BR57" i="5"/>
  <c r="BW57" i="5"/>
  <c r="CE34" i="5"/>
  <c r="CF34" i="5" s="1"/>
  <c r="CG34" i="5" s="1"/>
  <c r="CH34" i="5" s="1"/>
  <c r="CE56" i="5"/>
  <c r="CF56" i="5" s="1"/>
  <c r="CG56" i="5" s="1"/>
  <c r="CH56" i="5" s="1"/>
  <c r="DC52" i="5"/>
  <c r="DD52" i="5" s="1"/>
  <c r="DE52" i="5" s="1"/>
  <c r="CE17" i="5"/>
  <c r="CF17" i="5" s="1"/>
  <c r="CG17" i="5" s="1"/>
  <c r="CH17" i="5" s="1"/>
  <c r="CX52" i="5"/>
  <c r="CY52" i="5" s="1"/>
  <c r="CZ52" i="5" s="1"/>
  <c r="DC55" i="5"/>
  <c r="DD55" i="5" s="1"/>
  <c r="DE55" i="5" s="1"/>
  <c r="CX42" i="5"/>
  <c r="CY42" i="5" s="1"/>
  <c r="CZ42" i="5" s="1"/>
  <c r="CE2" i="5"/>
  <c r="CF2" i="5" s="1"/>
  <c r="CG2" i="5" s="1"/>
  <c r="CX32" i="5"/>
  <c r="CY32" i="5" s="1"/>
  <c r="CZ32" i="5" s="1"/>
  <c r="CE46" i="5"/>
  <c r="CF46" i="5" s="1"/>
  <c r="CG46" i="5" s="1"/>
  <c r="CH46" i="5" s="1"/>
  <c r="CS55" i="5"/>
  <c r="CT55" i="5" s="1"/>
  <c r="CU55" i="5" s="1"/>
  <c r="CX55" i="5"/>
  <c r="CY55" i="5" s="1"/>
  <c r="CZ55" i="5" s="1"/>
  <c r="CE11" i="5"/>
  <c r="CF11" i="5" s="1"/>
  <c r="CG11" i="5" s="1"/>
  <c r="CH11" i="5" s="1"/>
  <c r="CS14" i="5"/>
  <c r="CT14" i="5" s="1"/>
  <c r="CU14" i="5" s="1"/>
  <c r="CE48" i="5"/>
  <c r="CF48" i="5" s="1"/>
  <c r="CG48" i="5" s="1"/>
  <c r="CH48" i="5" s="1"/>
  <c r="CE9" i="5"/>
  <c r="CF9" i="5" s="1"/>
  <c r="CG9" i="5" s="1"/>
  <c r="CH9" i="5" s="1"/>
  <c r="CX14" i="5"/>
  <c r="CY14" i="5" s="1"/>
  <c r="CZ14" i="5" s="1"/>
  <c r="CS42" i="5"/>
  <c r="CT42" i="5" s="1"/>
  <c r="CU42" i="5" s="1"/>
  <c r="CE21" i="5"/>
  <c r="CF21" i="5" s="1"/>
  <c r="CG21" i="5" s="1"/>
  <c r="CH21" i="5" s="1"/>
  <c r="DK57" i="5"/>
  <c r="CS33" i="5"/>
  <c r="CT33" i="5" s="1"/>
  <c r="CU33" i="5" s="1"/>
  <c r="CE39" i="5"/>
  <c r="CF39" i="5" s="1"/>
  <c r="CG39" i="5" s="1"/>
  <c r="CH39" i="5" s="1"/>
  <c r="CE25" i="5"/>
  <c r="CF25" i="5" s="1"/>
  <c r="CG25" i="5" s="1"/>
  <c r="CH25" i="5" s="1"/>
  <c r="CE5" i="5"/>
  <c r="CF5" i="5" s="1"/>
  <c r="CG5" i="5" s="1"/>
  <c r="CH5" i="5" s="1"/>
  <c r="CE26" i="5"/>
  <c r="CF26" i="5" s="1"/>
  <c r="CG26" i="5" s="1"/>
  <c r="CH26" i="5" s="1"/>
  <c r="CE35" i="5"/>
  <c r="CF35" i="5" s="1"/>
  <c r="CG35" i="5" s="1"/>
  <c r="CH35" i="5" s="1"/>
  <c r="CE18" i="5"/>
  <c r="CF18" i="5" s="1"/>
  <c r="CG18" i="5" s="1"/>
  <c r="CH18" i="5" s="1"/>
  <c r="DK58" i="5"/>
  <c r="CS32" i="5"/>
  <c r="CT32" i="5" s="1"/>
  <c r="CU32" i="5" s="1"/>
  <c r="BL2" i="5" l="1"/>
  <c r="BM2" i="5" s="1"/>
  <c r="BM57" i="5" s="1"/>
  <c r="AN34" i="5"/>
  <c r="AN39" i="5"/>
  <c r="BL58" i="5"/>
  <c r="AN54" i="5"/>
  <c r="AN37" i="5"/>
  <c r="AN55" i="5"/>
  <c r="AN40" i="5"/>
  <c r="AN53" i="5"/>
  <c r="AN35" i="5"/>
  <c r="AN18" i="5"/>
  <c r="AL57" i="5"/>
  <c r="AN57" i="5" s="1"/>
  <c r="CY58" i="5"/>
  <c r="DD57" i="5"/>
  <c r="CZ57" i="5"/>
  <c r="CH2" i="5"/>
  <c r="CH57" i="5" s="1"/>
  <c r="CG58" i="5"/>
  <c r="CG59" i="5"/>
  <c r="CG57" i="5"/>
  <c r="DD59" i="5"/>
  <c r="DE57" i="5"/>
  <c r="CT57" i="5"/>
  <c r="CT58" i="5"/>
  <c r="CY57" i="5"/>
  <c r="CT59" i="5"/>
  <c r="DD58" i="5"/>
  <c r="CY59" i="5"/>
  <c r="CU57" i="5"/>
  <c r="BL57" i="5" l="1"/>
  <c r="BL59" i="5"/>
</calcChain>
</file>

<file path=xl/sharedStrings.xml><?xml version="1.0" encoding="utf-8"?>
<sst xmlns="http://schemas.openxmlformats.org/spreadsheetml/2006/main" count="139" uniqueCount="76">
  <si>
    <t>Expt.no.</t>
  </si>
  <si>
    <t>Orientation</t>
  </si>
  <si>
    <t>Angle</t>
  </si>
  <si>
    <t>Length (mm)</t>
  </si>
  <si>
    <t>L_effective(mm)</t>
  </si>
  <si>
    <t xml:space="preserve">V volt </t>
  </si>
  <si>
    <t>CHF(MW/m^2)</t>
  </si>
  <si>
    <t>Bulk water temperature 1</t>
  </si>
  <si>
    <t>Bulk water temperature 2</t>
  </si>
  <si>
    <t>Tsat</t>
  </si>
  <si>
    <t>Tsat-Tpool</t>
  </si>
  <si>
    <t>Surface tension</t>
  </si>
  <si>
    <t>rho_l</t>
  </si>
  <si>
    <t>P</t>
  </si>
  <si>
    <t>hfg</t>
  </si>
  <si>
    <t>rho_v</t>
  </si>
  <si>
    <t>g</t>
  </si>
  <si>
    <t>CHF</t>
  </si>
  <si>
    <t>Uncertainty in Qsupplied</t>
  </si>
  <si>
    <t>Uncertainty in Qloss</t>
  </si>
  <si>
    <t>Uncertainity CHF</t>
  </si>
  <si>
    <t>Cp</t>
  </si>
  <si>
    <t>Kl</t>
  </si>
  <si>
    <t>μl</t>
  </si>
  <si>
    <t>μv</t>
  </si>
  <si>
    <t>Ja</t>
  </si>
  <si>
    <t>α</t>
  </si>
  <si>
    <t xml:space="preserve">I amp </t>
  </si>
  <si>
    <t>avg Pool temp</t>
  </si>
  <si>
    <t>Power</t>
  </si>
  <si>
    <t>Ploss</t>
  </si>
  <si>
    <t>Pnet</t>
  </si>
  <si>
    <t>Resitance_ss</t>
  </si>
  <si>
    <t>CS area_ss</t>
  </si>
  <si>
    <t>Resistivity_ss</t>
  </si>
  <si>
    <t>thickness (mm)</t>
  </si>
  <si>
    <t>Width(mm)</t>
  </si>
  <si>
    <t>Resistivity _GI</t>
  </si>
  <si>
    <t>L_GI(m)</t>
  </si>
  <si>
    <t>Resistance_GI</t>
  </si>
  <si>
    <t>C/s area_GI(m^2)</t>
  </si>
  <si>
    <t>Down</t>
  </si>
  <si>
    <t>Ver</t>
  </si>
  <si>
    <t>l/w</t>
  </si>
  <si>
    <t>up</t>
  </si>
  <si>
    <t>down</t>
  </si>
  <si>
    <t>ver</t>
  </si>
  <si>
    <t xml:space="preserve">ver </t>
  </si>
  <si>
    <t>Up</t>
  </si>
  <si>
    <t>Zuber</t>
  </si>
  <si>
    <t>MD</t>
  </si>
  <si>
    <t>MAD</t>
  </si>
  <si>
    <t>Rohsenow and Griffith</t>
  </si>
  <si>
    <t>Kutateladze</t>
  </si>
  <si>
    <t>Ag/Aw</t>
  </si>
  <si>
    <t>a</t>
  </si>
  <si>
    <t>b</t>
  </si>
  <si>
    <t>Rhof/Rhog</t>
  </si>
  <si>
    <t>c</t>
  </si>
  <si>
    <t>d</t>
  </si>
  <si>
    <t>Haramura katto</t>
  </si>
  <si>
    <t>s</t>
  </si>
  <si>
    <t>x1</t>
  </si>
  <si>
    <t>x2</t>
  </si>
  <si>
    <t>x3</t>
  </si>
  <si>
    <t>x4</t>
  </si>
  <si>
    <t>K</t>
  </si>
  <si>
    <t>Arik and Bar Cohen</t>
  </si>
  <si>
    <t>Kutateladze and Schneiderman</t>
  </si>
  <si>
    <t>Ivey Moris</t>
  </si>
  <si>
    <t>Vishnev</t>
  </si>
  <si>
    <t>R</t>
  </si>
  <si>
    <t>e</t>
  </si>
  <si>
    <t>f</t>
  </si>
  <si>
    <t>CHF(pK)</t>
  </si>
  <si>
    <t>Apparent dia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</si>
</sst>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18" fillId="0" borderId="10" xfId="0" applyFont="1" applyBorder="1" applyAlignment="1">
      <alignment wrapText="1"/>
    </xf>
    <xf numFmtId="0" fontId="18" fillId="34" borderId="10" xfId="0" applyFont="1" applyFill="1" applyBorder="1" applyAlignment="1">
      <alignment wrapText="1"/>
    </xf>
    <xf numFmtId="0" fontId="18" fillId="33" borderId="10" xfId="0" applyFont="1" applyFill="1" applyBorder="1" applyAlignment="1">
      <alignment wrapText="1"/>
    </xf>
    <xf numFmtId="0" fontId="18" fillId="35" borderId="10" xfId="0" applyFont="1" applyFill="1" applyBorder="1" applyAlignment="1">
      <alignment wrapText="1"/>
    </xf>
    <xf numFmtId="0" fontId="18" fillId="38" borderId="10" xfId="0" applyFont="1" applyFill="1" applyBorder="1" applyAlignment="1">
      <alignment wrapText="1"/>
    </xf>
    <xf numFmtId="0" fontId="18" fillId="37" borderId="10" xfId="0" applyFont="1" applyFill="1" applyBorder="1" applyAlignment="1">
      <alignment wrapText="1"/>
    </xf>
    <xf numFmtId="0" fontId="19" fillId="0" borderId="10" xfId="0" applyFont="1" applyBorder="1"/>
    <xf numFmtId="0" fontId="19" fillId="34" borderId="10" xfId="0" applyFont="1" applyFill="1" applyBorder="1"/>
    <xf numFmtId="0" fontId="19" fillId="33" borderId="10" xfId="0" applyFont="1" applyFill="1" applyBorder="1"/>
    <xf numFmtId="0" fontId="18" fillId="33" borderId="10" xfId="0" applyFont="1" applyFill="1" applyBorder="1"/>
    <xf numFmtId="0" fontId="18" fillId="35" borderId="10" xfId="0" applyFont="1" applyFill="1" applyBorder="1"/>
    <xf numFmtId="0" fontId="19" fillId="38" borderId="10" xfId="0" applyFont="1" applyFill="1" applyBorder="1"/>
    <xf numFmtId="0" fontId="19" fillId="37" borderId="10" xfId="0" applyFont="1" applyFill="1" applyBorder="1"/>
    <xf numFmtId="0" fontId="19" fillId="36" borderId="10" xfId="0" applyFont="1" applyFill="1" applyBorder="1"/>
    <xf numFmtId="0" fontId="18" fillId="36" borderId="10" xfId="0" applyFont="1" applyFill="1" applyBorder="1"/>
    <xf numFmtId="0" fontId="19" fillId="0" borderId="0" xfId="0" applyFont="1"/>
    <xf numFmtId="0" fontId="19" fillId="36" borderId="0" xfId="0" applyFont="1" applyFill="1"/>
    <xf numFmtId="0" fontId="18" fillId="0" borderId="10" xfId="0" applyFont="1" applyBorder="1"/>
    <xf numFmtId="0" fontId="18" fillId="37" borderId="10" xfId="0" applyFont="1" applyFill="1" applyBorder="1"/>
    <xf numFmtId="0" fontId="18" fillId="39" borderId="10" xfId="0" applyFont="1" applyFill="1" applyBorder="1" applyAlignment="1">
      <alignment wrapText="1"/>
    </xf>
    <xf numFmtId="0" fontId="19" fillId="39" borderId="10" xfId="0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7802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L601"/>
  <sheetViews>
    <sheetView tabSelected="1" zoomScale="80" zoomScaleNormal="80" workbookViewId="0">
      <selection activeCell="J10" sqref="J10"/>
    </sheetView>
  </sheetViews>
  <sheetFormatPr defaultColWidth="9.109375" defaultRowHeight="15.6" x14ac:dyDescent="0.3"/>
  <cols>
    <col min="1" max="1" width="9.5546875" style="7" bestFit="1" customWidth="1"/>
    <col min="2" max="2" width="12" style="8" customWidth="1"/>
    <col min="3" max="3" width="9.5546875" style="9" bestFit="1" customWidth="1"/>
    <col min="4" max="4" width="12.33203125" style="7" bestFit="1" customWidth="1"/>
    <col min="5" max="5" width="9.5546875" style="10" bestFit="1" customWidth="1"/>
    <col min="6" max="6" width="9.5546875" style="9" bestFit="1" customWidth="1"/>
    <col min="7" max="7" width="9.5546875" style="21" customWidth="1"/>
    <col min="8" max="9" width="9.5546875" style="7" bestFit="1" customWidth="1"/>
    <col min="10" max="10" width="13.21875" style="7" bestFit="1" customWidth="1"/>
    <col min="11" max="13" width="9.33203125" style="7" customWidth="1"/>
    <col min="14" max="14" width="9.5546875" style="7" bestFit="1" customWidth="1"/>
    <col min="15" max="15" width="13.88671875" style="7" customWidth="1"/>
    <col min="16" max="18" width="10.6640625" style="7" customWidth="1"/>
    <col min="19" max="19" width="9.5546875" style="7" bestFit="1" customWidth="1"/>
    <col min="20" max="20" width="9.5546875" style="9" bestFit="1" customWidth="1"/>
    <col min="21" max="21" width="9.5546875" style="11" bestFit="1" customWidth="1"/>
    <col min="22" max="25" width="9.5546875" style="7" bestFit="1" customWidth="1"/>
    <col min="26" max="28" width="9.5546875" style="9" bestFit="1" customWidth="1"/>
    <col min="29" max="32" width="9.5546875" style="12" bestFit="1" customWidth="1"/>
    <col min="33" max="39" width="9.5546875" style="7" bestFit="1" customWidth="1"/>
    <col min="40" max="40" width="9.33203125" style="7" customWidth="1"/>
    <col min="41" max="44" width="9.5546875" style="9" bestFit="1" customWidth="1"/>
    <col min="45" max="45" width="13.6640625" style="12" bestFit="1" customWidth="1"/>
    <col min="46" max="46" width="9.5546875" style="9" bestFit="1" customWidth="1"/>
    <col min="47" max="48" width="9.33203125" style="9" bestFit="1" customWidth="1"/>
    <col min="49" max="50" width="9.109375" style="13"/>
    <col min="51" max="54" width="9.33203125" style="7" bestFit="1" customWidth="1"/>
    <col min="55" max="55" width="9.109375" style="7"/>
    <col min="56" max="56" width="12.21875" style="7" bestFit="1" customWidth="1"/>
    <col min="57" max="65" width="9.33203125" style="7" bestFit="1" customWidth="1"/>
    <col min="66" max="66" width="9.109375" style="7"/>
    <col min="67" max="67" width="12.44140625" style="7" customWidth="1"/>
    <col min="68" max="70" width="9.33203125" style="7" bestFit="1" customWidth="1"/>
    <col min="71" max="71" width="9.109375" style="7"/>
    <col min="72" max="72" width="12.5546875" style="7" customWidth="1"/>
    <col min="73" max="75" width="9.33203125" style="7" bestFit="1" customWidth="1"/>
    <col min="76" max="76" width="9.109375" style="7"/>
    <col min="77" max="77" width="13.5546875" style="7" bestFit="1" customWidth="1"/>
    <col min="78" max="78" width="11.33203125" style="7" customWidth="1"/>
    <col min="79" max="82" width="9.33203125" style="7" bestFit="1" customWidth="1"/>
    <col min="83" max="83" width="17.88671875" style="7" customWidth="1"/>
    <col min="84" max="85" width="9.33203125" style="7" bestFit="1" customWidth="1"/>
    <col min="86" max="86" width="13.21875" style="7" bestFit="1" customWidth="1"/>
    <col min="87" max="87" width="9.109375" style="7"/>
    <col min="88" max="99" width="9.33203125" style="7" bestFit="1" customWidth="1"/>
    <col min="100" max="100" width="9.109375" style="7"/>
    <col min="101" max="101" width="9.33203125" style="7" bestFit="1" customWidth="1"/>
    <col min="102" max="102" width="13.33203125" style="7" customWidth="1"/>
    <col min="103" max="104" width="9.33203125" style="7" bestFit="1" customWidth="1"/>
    <col min="105" max="105" width="9.109375" style="7"/>
    <col min="106" max="109" width="9.33203125" style="7" bestFit="1" customWidth="1"/>
    <col min="110" max="110" width="9.109375" style="7"/>
    <col min="111" max="116" width="9.33203125" style="7" bestFit="1" customWidth="1"/>
    <col min="117" max="16384" width="9.109375" style="7"/>
  </cols>
  <sheetData>
    <row r="1" spans="1:116" s="1" customFormat="1" ht="62.4" x14ac:dyDescent="0.3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3" t="s">
        <v>36</v>
      </c>
      <c r="G1" s="20" t="s">
        <v>75</v>
      </c>
      <c r="H1" s="1" t="s">
        <v>35</v>
      </c>
      <c r="I1" s="1" t="s">
        <v>27</v>
      </c>
      <c r="J1" s="1" t="s">
        <v>5</v>
      </c>
      <c r="K1" s="1" t="s">
        <v>32</v>
      </c>
      <c r="L1" s="1" t="s">
        <v>33</v>
      </c>
      <c r="M1" s="1" t="s">
        <v>34</v>
      </c>
      <c r="N1" s="1" t="s">
        <v>29</v>
      </c>
      <c r="O1" s="1" t="s">
        <v>40</v>
      </c>
      <c r="P1" s="1" t="s">
        <v>37</v>
      </c>
      <c r="Q1" s="1" t="s">
        <v>38</v>
      </c>
      <c r="R1" s="1" t="s">
        <v>39</v>
      </c>
      <c r="S1" s="1" t="s">
        <v>30</v>
      </c>
      <c r="T1" s="3" t="s">
        <v>31</v>
      </c>
      <c r="U1" s="4" t="s">
        <v>6</v>
      </c>
      <c r="V1" s="1" t="s">
        <v>7</v>
      </c>
      <c r="W1" s="1" t="s">
        <v>8</v>
      </c>
      <c r="X1" s="1" t="s">
        <v>28</v>
      </c>
      <c r="Y1" s="1" t="s">
        <v>9</v>
      </c>
      <c r="Z1" s="3" t="s">
        <v>10</v>
      </c>
      <c r="AA1" s="3" t="s">
        <v>11</v>
      </c>
      <c r="AB1" s="3" t="s">
        <v>12</v>
      </c>
      <c r="AC1" s="5" t="s">
        <v>13</v>
      </c>
      <c r="AD1" s="5" t="s">
        <v>14</v>
      </c>
      <c r="AE1" s="5" t="s">
        <v>15</v>
      </c>
      <c r="AF1" s="5" t="s">
        <v>16</v>
      </c>
      <c r="AG1" s="1" t="s">
        <v>17</v>
      </c>
      <c r="AI1" s="1" t="s">
        <v>18</v>
      </c>
      <c r="AJ1" s="1" t="s">
        <v>19</v>
      </c>
      <c r="AK1" s="1" t="s">
        <v>20</v>
      </c>
      <c r="AL1" s="1">
        <v>0.3</v>
      </c>
      <c r="AM1" s="1">
        <v>-0.3</v>
      </c>
      <c r="AO1" s="3" t="s">
        <v>21</v>
      </c>
      <c r="AP1" s="3" t="s">
        <v>22</v>
      </c>
      <c r="AQ1" s="3" t="s">
        <v>43</v>
      </c>
      <c r="AR1" s="3" t="s">
        <v>23</v>
      </c>
      <c r="AS1" s="5" t="s">
        <v>24</v>
      </c>
      <c r="AT1" s="3" t="s">
        <v>26</v>
      </c>
      <c r="AU1" s="3" t="s">
        <v>25</v>
      </c>
      <c r="AV1" s="3" t="s">
        <v>71</v>
      </c>
      <c r="AW1" s="6"/>
      <c r="AX1" s="6"/>
      <c r="AY1" s="1" t="s">
        <v>49</v>
      </c>
      <c r="BA1" s="1" t="s">
        <v>50</v>
      </c>
      <c r="BB1" s="1" t="s">
        <v>51</v>
      </c>
      <c r="BD1" s="1" t="s">
        <v>55</v>
      </c>
      <c r="BE1" s="1" t="s">
        <v>56</v>
      </c>
      <c r="BF1" s="1" t="s">
        <v>58</v>
      </c>
      <c r="BG1" s="1" t="s">
        <v>59</v>
      </c>
      <c r="BH1" s="1" t="s">
        <v>72</v>
      </c>
      <c r="BI1" s="1" t="s">
        <v>73</v>
      </c>
      <c r="BJ1" s="1" t="s">
        <v>74</v>
      </c>
      <c r="BO1" s="1" t="s">
        <v>52</v>
      </c>
      <c r="BQ1" s="1" t="s">
        <v>50</v>
      </c>
      <c r="BR1" s="1" t="s">
        <v>51</v>
      </c>
      <c r="BT1" s="1" t="s">
        <v>53</v>
      </c>
      <c r="BV1" s="1" t="s">
        <v>50</v>
      </c>
      <c r="BW1" s="1" t="s">
        <v>51</v>
      </c>
      <c r="BY1" s="1" t="s">
        <v>54</v>
      </c>
      <c r="BZ1" s="1" t="s">
        <v>57</v>
      </c>
      <c r="CA1" s="1" t="s">
        <v>55</v>
      </c>
      <c r="CB1" s="1" t="s">
        <v>56</v>
      </c>
      <c r="CC1" s="1" t="s">
        <v>58</v>
      </c>
      <c r="CD1" s="1" t="s">
        <v>59</v>
      </c>
      <c r="CE1" s="1" t="s">
        <v>60</v>
      </c>
      <c r="CG1" s="1" t="s">
        <v>50</v>
      </c>
      <c r="CH1" s="1" t="s">
        <v>51</v>
      </c>
      <c r="CJ1" s="1" t="s">
        <v>61</v>
      </c>
      <c r="CK1" s="1" t="s">
        <v>55</v>
      </c>
      <c r="CL1" s="1" t="s">
        <v>62</v>
      </c>
      <c r="CM1" s="1" t="s">
        <v>63</v>
      </c>
      <c r="CN1" s="1" t="s">
        <v>56</v>
      </c>
      <c r="CO1" s="1" t="s">
        <v>64</v>
      </c>
      <c r="CP1" s="1" t="s">
        <v>65</v>
      </c>
      <c r="CQ1" s="1" t="s">
        <v>58</v>
      </c>
      <c r="CR1" s="1" t="s">
        <v>66</v>
      </c>
      <c r="CS1" s="1" t="s">
        <v>67</v>
      </c>
      <c r="CT1" s="1" t="s">
        <v>50</v>
      </c>
      <c r="CU1" s="1" t="s">
        <v>51</v>
      </c>
      <c r="CX1" s="1" t="s">
        <v>68</v>
      </c>
      <c r="DC1" s="1" t="s">
        <v>69</v>
      </c>
      <c r="DJ1" s="1" t="s">
        <v>70</v>
      </c>
    </row>
    <row r="2" spans="1:116" x14ac:dyDescent="0.3">
      <c r="A2" s="7">
        <v>1</v>
      </c>
      <c r="B2" s="8" t="s">
        <v>42</v>
      </c>
      <c r="C2" s="9">
        <v>90</v>
      </c>
      <c r="D2" s="7">
        <v>130.15</v>
      </c>
      <c r="E2" s="10">
        <v>100</v>
      </c>
      <c r="F2" s="9">
        <v>20</v>
      </c>
      <c r="G2" s="21">
        <f>F2/(2*PI())</f>
        <v>3.183098861837907</v>
      </c>
      <c r="H2" s="7">
        <v>0.2</v>
      </c>
      <c r="I2" s="7">
        <v>605.72493040612096</v>
      </c>
      <c r="J2" s="7">
        <v>15.38937902828</v>
      </c>
      <c r="K2" s="7">
        <f t="shared" ref="K2:K47" si="0">J2/I2</f>
        <v>2.5406547189599525E-2</v>
      </c>
      <c r="L2" s="7">
        <f>2*(F2*H2)/1000000</f>
        <v>7.9999999999999996E-6</v>
      </c>
      <c r="M2" s="7">
        <f t="shared" ref="M2:M47" si="1">K2*L2/(E2/1000)</f>
        <v>2.0325237751679615E-6</v>
      </c>
      <c r="N2" s="7">
        <f t="shared" ref="N2:N47" si="2">I2*J2</f>
        <v>9321.7305408983211</v>
      </c>
      <c r="O2" s="7">
        <f t="shared" ref="O2:O47" si="3">(0.77*10^-3)*0.02</f>
        <v>1.5400000000000002E-5</v>
      </c>
      <c r="P2" s="7">
        <f t="shared" ref="P2:P47" si="4">1*10^-7</f>
        <v>9.9999999999999995E-8</v>
      </c>
      <c r="Q2" s="7">
        <v>0.02</v>
      </c>
      <c r="R2" s="7">
        <f t="shared" ref="R2:R47" si="5">(P2*Q2/O2)</f>
        <v>1.2987012987012987E-4</v>
      </c>
      <c r="S2" s="7">
        <f t="shared" ref="S2:S47" si="6">(I2^2)*R2</f>
        <v>47.649700170844163</v>
      </c>
      <c r="T2" s="9">
        <f t="shared" ref="T2:T47" si="7">N2-S2</f>
        <v>9274.0808407274762</v>
      </c>
      <c r="U2" s="11">
        <f>T2/(E2*F2)</f>
        <v>4.6370404203637383</v>
      </c>
      <c r="V2" s="7">
        <v>26.21829342713</v>
      </c>
      <c r="W2" s="7">
        <v>27.218173544580001</v>
      </c>
      <c r="X2" s="7">
        <f t="shared" ref="X2:X47" si="8">0.5*(V2+W2)</f>
        <v>26.718233485855002</v>
      </c>
      <c r="Y2" s="7">
        <v>99.4</v>
      </c>
      <c r="Z2" s="9">
        <f t="shared" ref="Z2:Z47" si="9">Y2-X2</f>
        <v>72.681766514145011</v>
      </c>
      <c r="AA2" s="9">
        <f t="shared" ref="AA2:AA47" si="10">(-0.0002*X2)+0.0763</f>
        <v>7.0956353302829012E-2</v>
      </c>
      <c r="AB2" s="9">
        <f t="shared" ref="AB2:AB47" si="11">(-0.003*X2^2)-(0.1112*X2)+1001.7</f>
        <v>996.587340434559</v>
      </c>
      <c r="AC2" s="12">
        <v>0.99839999999999995</v>
      </c>
      <c r="AD2" s="12">
        <f t="shared" ref="AD2:AD47" si="12">((3988.9*AC2^6)-(15194*AC2^5)+(22808*AC2^4)-(17174*AC2^3)+(6909.8*AC2^2)-(1605.5*AC2)+2524.8)*1000</f>
        <v>2258180.3232856165</v>
      </c>
      <c r="AE2" s="12">
        <f t="shared" ref="AE2:AE47" si="13">(-0.023*AC2^2)+(0.6037*AC2)+0.0102</f>
        <v>0.59000762111999994</v>
      </c>
      <c r="AF2" s="12">
        <v>9.81</v>
      </c>
      <c r="AG2" s="7">
        <f t="shared" ref="AG2:AG47" si="14">U2*10^6</f>
        <v>4637040.4203637382</v>
      </c>
      <c r="AH2" s="7">
        <f t="shared" ref="AH2:AH47" si="15">AG2/10^6</f>
        <v>4.6370404203637383</v>
      </c>
      <c r="AI2" s="7">
        <f t="shared" ref="AI2:AI47" si="16">((0.01)^2+(0.02)^2+(0.01)^2+(0.01)^2)^0.5</f>
        <v>2.6457513110645908E-2</v>
      </c>
      <c r="AJ2" s="7">
        <f t="shared" ref="AJ2:AJ47" si="17">((0.01*0.02)^2+(0.01)^2+(0.01)^2)^0.5</f>
        <v>1.4143549766589715E-2</v>
      </c>
      <c r="AK2" s="7">
        <f t="shared" ref="AK2:AK47" si="18">((AI2^2)+(AJ2^2))^0.5</f>
        <v>3.0000666659259424E-2</v>
      </c>
      <c r="AL2" s="7">
        <f>1.3*AH2</f>
        <v>6.0281525464728603</v>
      </c>
      <c r="AM2" s="7">
        <f>0.7*AH2</f>
        <v>3.2459282942546168</v>
      </c>
      <c r="AN2" s="7">
        <f>0.5*(AL2+AM2)</f>
        <v>4.6370404203637383</v>
      </c>
      <c r="AO2" s="9">
        <f t="shared" ref="AO2:AO47" si="19">((-0.00000000002*(X2^5)) +( 0.000000008*(X2^4)) - (0.000001*(X2^3)) +( 0.00008*(X2^2)) -( 0.0029*X2) + 4.2171)*1000</f>
        <v>4181.4575591813518</v>
      </c>
      <c r="AP2" s="9">
        <f t="shared" ref="AP2:AP47" si="20">((-1*10^-5)*(X2^2))+(0.0022*X2)+0.5589</f>
        <v>0.61054147366283429</v>
      </c>
      <c r="AQ2" s="9">
        <f t="shared" ref="AQ2:AQ56" si="21">E2/F2</f>
        <v>5</v>
      </c>
      <c r="AR2" s="9">
        <f t="shared" ref="AR2:AR47" si="22">((9*(10^-8)*X2^2)-(1.985*10^-5*X2)+0.0013)</f>
        <v>8.3389082536019783E-4</v>
      </c>
      <c r="AS2" s="12">
        <f t="shared" ref="AS2:AS47" si="23">((8.4*10^-7)*LN(AC2))+(1.28*10^-5)</f>
        <v>1.2798654923651744E-5</v>
      </c>
      <c r="AT2" s="9">
        <f t="shared" ref="AT2:AT47" si="24">(AP2/(AR2*AO2))</f>
        <v>0.17509682928131348</v>
      </c>
      <c r="AU2" s="9">
        <f>((AO2*(Z2))/AD2)</f>
        <v>0.1345843460202652</v>
      </c>
      <c r="AV2" s="9">
        <f>(F2/1000)/((AA2/(AF2*(AB2-AE2)))^0.5)</f>
        <v>7.42160683112564</v>
      </c>
      <c r="AY2" s="7">
        <f>0.131*(AE2*AD2)*(((AF2*AA2)*(AB2-AE2)/(AE2^2))^0.25)</f>
        <v>1165972.5947492991</v>
      </c>
      <c r="AZ2" s="7">
        <f>AY2/10^6</f>
        <v>1.1659725947492992</v>
      </c>
      <c r="BA2" s="7">
        <f>(U2-AZ2)*100/U2</f>
        <v>74.855241942061014</v>
      </c>
      <c r="BB2" s="7">
        <f>ABS(BA2)</f>
        <v>74.855241942061014</v>
      </c>
      <c r="BD2" s="7">
        <f>(AY2*3.5)/0.131</f>
        <v>31151939.554370586</v>
      </c>
      <c r="BE2" s="7">
        <f>AQ2^-0.52</f>
        <v>0.43304756182248977</v>
      </c>
      <c r="BF2" s="7">
        <f>(2.5*AV2)^-1.2</f>
        <v>3.0052074555268454E-2</v>
      </c>
      <c r="BG2" s="7">
        <f>(1+AU2)^2</f>
        <v>1.2872816382342327</v>
      </c>
      <c r="BH2" s="7">
        <f>0.8+(0.02*(180-C2)^0.5)</f>
        <v>0.98973665961010282</v>
      </c>
      <c r="BI2" s="7">
        <f>10^6*(EXP(10.4*AU2))</f>
        <v>4053891.1539164041</v>
      </c>
      <c r="BJ2" s="7">
        <f>(BD2*BE2*BF2*BG2*BH2)+BI2</f>
        <v>4570412.6236175876</v>
      </c>
      <c r="BK2" s="7">
        <f>BJ2/10^6</f>
        <v>4.5704126236175879</v>
      </c>
      <c r="BL2" s="7">
        <f>(U2-BK2)*100/U2</f>
        <v>1.4368603830484612</v>
      </c>
      <c r="BM2" s="7">
        <f>ABS(BL2)</f>
        <v>1.4368603830484612</v>
      </c>
      <c r="BO2" s="7">
        <f>0.012*(AE2*AD2)*(((AB2-AE2)/AE2)^0.6)</f>
        <v>1381140.367082603</v>
      </c>
      <c r="BP2" s="7">
        <f>BO2/10^6</f>
        <v>1.381140367082603</v>
      </c>
      <c r="BQ2" s="7">
        <f>(U2-BP2)*100/U2</f>
        <v>70.215045764594308</v>
      </c>
      <c r="BR2" s="7">
        <f>ABS(BQ2)</f>
        <v>70.215045764594308</v>
      </c>
      <c r="BT2" s="7">
        <f>(0.16/0.131)*AY2</f>
        <v>1424088.6653426555</v>
      </c>
      <c r="BU2" s="7">
        <f>BT2/10^6</f>
        <v>1.4240886653426554</v>
      </c>
      <c r="BV2" s="7">
        <f>(U2-BU2)*100/U2</f>
        <v>69.288845120074512</v>
      </c>
      <c r="BW2" s="7">
        <f>ABS(BV2)</f>
        <v>69.288845120074512</v>
      </c>
      <c r="BY2" s="7">
        <f>0.0584*(AB2/AE2)^0.2</f>
        <v>0.2581929597634654</v>
      </c>
      <c r="BZ2" s="7">
        <f>AB2/AE2</f>
        <v>1689.1092670002411</v>
      </c>
      <c r="CA2" s="7">
        <f>0.721*(BY2^(5/8))</f>
        <v>0.30931466592459866</v>
      </c>
      <c r="CB2" s="7">
        <f>(1-(BY2))^(5/16)</f>
        <v>0.91088997443821074</v>
      </c>
      <c r="CC2" s="7">
        <f>((BZ2+1)/((((11/16)*BZ2)+1)^(3/5)))^(5/16)</f>
        <v>2.7163067878475116</v>
      </c>
      <c r="CD2" s="7">
        <f>AY2/0.131</f>
        <v>8900554.1583915967</v>
      </c>
      <c r="CE2" s="7">
        <f>CA2*CB2*CC2*CD2</f>
        <v>6811806.4646105208</v>
      </c>
      <c r="CF2" s="7">
        <f>CE2/10^6</f>
        <v>6.8118064646105205</v>
      </c>
      <c r="CG2" s="7">
        <f>(U2-CF2)*100/U2</f>
        <v>-46.899872485394233</v>
      </c>
      <c r="CH2" s="7">
        <f>ABS(CG2)</f>
        <v>46.899872485394233</v>
      </c>
      <c r="CJ2" s="7">
        <f>0.0002*(8000*490*15.2)^0.5</f>
        <v>1.5438134602341049</v>
      </c>
      <c r="CK2" s="7">
        <f>(PI()/24)*(CJ2/(CJ2+1))</f>
        <v>7.9441638524897912E-2</v>
      </c>
      <c r="CL2" s="7">
        <f>0.3014-(0.01507*(E2/1000))</f>
        <v>0.29989300000000002</v>
      </c>
      <c r="CM2" s="7">
        <f>(AF2*(AB2-AE2)/AA2)^0.5</f>
        <v>371.08034155628201</v>
      </c>
      <c r="CN2" s="7">
        <f>1+(CL2*CM2)</f>
        <v>112.28439687033809</v>
      </c>
      <c r="CO2" s="7">
        <f>((BZ2)^(3/4))*(AO2/AD2)</f>
        <v>0.48787928959474708</v>
      </c>
      <c r="CP2" s="7">
        <f>0.03*CO2*Z2</f>
        <v>1.0637978584023704</v>
      </c>
      <c r="CQ2" s="7">
        <f>1+CP2</f>
        <v>2.0637978584023706</v>
      </c>
      <c r="CR2" s="7">
        <f>CK2*CN2*CQ2</f>
        <v>18.409193435815947</v>
      </c>
      <c r="CS2" s="7">
        <f>CR2*AZ2</f>
        <v>21.464615037600087</v>
      </c>
      <c r="CT2" s="7">
        <f>(U2-CS2)*100/U2</f>
        <v>-362.89471498539064</v>
      </c>
      <c r="CU2" s="7">
        <f>ABS(CT2)</f>
        <v>362.89471498539064</v>
      </c>
      <c r="CW2" s="7">
        <f>1+(0.065*((BZ2)^-0.2)*(AU2*BZ2))</f>
        <v>4.3422128207489212</v>
      </c>
      <c r="CX2" s="7">
        <f>CW2*AZ2</f>
        <v>5.0629011495622933</v>
      </c>
      <c r="CY2" s="7">
        <f>(U2-CX2)*100/U2</f>
        <v>-9.183890813812436</v>
      </c>
      <c r="CZ2" s="7">
        <f>ABS(CY2)</f>
        <v>9.183890813812436</v>
      </c>
      <c r="DB2" s="7">
        <f>1+(0.102*((BZ2)^-0.25)*(AU2*BZ2))</f>
        <v>4.6169127185680594</v>
      </c>
      <c r="DC2" s="7">
        <f>DB2*AZ2</f>
        <v>5.3831937021998408</v>
      </c>
      <c r="DD2" s="7">
        <f>(U2-DC2)*100/U2</f>
        <v>-16.09115328301522</v>
      </c>
      <c r="DE2" s="7">
        <f>ABS(DD2)</f>
        <v>16.09115328301522</v>
      </c>
      <c r="DG2" s="7">
        <f>AY2/0.131</f>
        <v>8900554.1583915967</v>
      </c>
      <c r="DH2" s="7">
        <f>0.0125*(190-C2)^0.5</f>
        <v>0.125</v>
      </c>
      <c r="DI2" s="7">
        <f>DH2*DG2</f>
        <v>1112569.2697989496</v>
      </c>
      <c r="DJ2" s="7">
        <f>DI2/10^6</f>
        <v>1.1125692697989495</v>
      </c>
      <c r="DK2" s="7">
        <f>(U2-DJ2)*100/U2</f>
        <v>76.006910250058212</v>
      </c>
      <c r="DL2" s="7">
        <f>ABS(DK2)</f>
        <v>76.006910250058212</v>
      </c>
    </row>
    <row r="3" spans="1:116" x14ac:dyDescent="0.3">
      <c r="A3" s="7">
        <v>2</v>
      </c>
      <c r="B3" s="8" t="s">
        <v>44</v>
      </c>
      <c r="C3" s="9">
        <v>0</v>
      </c>
      <c r="D3" s="7">
        <v>130.97</v>
      </c>
      <c r="E3" s="10">
        <v>100</v>
      </c>
      <c r="F3" s="9">
        <v>20</v>
      </c>
      <c r="G3" s="21">
        <f t="shared" ref="G3:G66" si="25">F3/(2*PI())</f>
        <v>3.183098861837907</v>
      </c>
      <c r="H3" s="7">
        <v>0.2</v>
      </c>
      <c r="I3" s="7">
        <v>598.17499999999995</v>
      </c>
      <c r="J3" s="7">
        <v>14.06908578214</v>
      </c>
      <c r="K3" s="7">
        <f t="shared" si="0"/>
        <v>2.3520016353307981E-2</v>
      </c>
      <c r="L3" s="7">
        <f t="shared" ref="L3:L47" si="26">2*(F3*H3)/1000000</f>
        <v>7.9999999999999996E-6</v>
      </c>
      <c r="M3" s="7">
        <f t="shared" si="1"/>
        <v>1.8816013082646383E-6</v>
      </c>
      <c r="N3" s="7">
        <f t="shared" si="2"/>
        <v>8415.7753877315936</v>
      </c>
      <c r="O3" s="7">
        <f t="shared" si="3"/>
        <v>1.5400000000000002E-5</v>
      </c>
      <c r="P3" s="7">
        <f t="shared" si="4"/>
        <v>9.9999999999999995E-8</v>
      </c>
      <c r="Q3" s="7">
        <v>0.02</v>
      </c>
      <c r="R3" s="7">
        <f t="shared" si="5"/>
        <v>1.2987012987012987E-4</v>
      </c>
      <c r="S3" s="7">
        <f t="shared" si="6"/>
        <v>46.469263717532463</v>
      </c>
      <c r="T3" s="9">
        <f t="shared" si="7"/>
        <v>8369.3061240140614</v>
      </c>
      <c r="U3" s="11">
        <f t="shared" ref="U3:U47" si="27">T3/(E3*F3)</f>
        <v>4.1846530620070306</v>
      </c>
      <c r="V3" s="7">
        <v>28.805244468480002</v>
      </c>
      <c r="W3" s="7">
        <v>30.229627561160001</v>
      </c>
      <c r="X3" s="7">
        <f t="shared" si="8"/>
        <v>29.517436014819999</v>
      </c>
      <c r="Y3" s="7">
        <v>99.4</v>
      </c>
      <c r="Z3" s="9">
        <f t="shared" si="9"/>
        <v>69.882563985180013</v>
      </c>
      <c r="AA3" s="9">
        <f t="shared" si="10"/>
        <v>7.0396512797036001E-2</v>
      </c>
      <c r="AB3" s="9">
        <f t="shared" si="11"/>
        <v>995.80382402848511</v>
      </c>
      <c r="AC3" s="12">
        <v>0.99839999999999995</v>
      </c>
      <c r="AD3" s="12">
        <f t="shared" si="12"/>
        <v>2258180.3232856165</v>
      </c>
      <c r="AE3" s="12">
        <f t="shared" si="13"/>
        <v>0.59000762111999994</v>
      </c>
      <c r="AF3" s="12">
        <v>9.81</v>
      </c>
      <c r="AG3" s="7">
        <f t="shared" si="14"/>
        <v>4184653.0620070305</v>
      </c>
      <c r="AH3" s="7">
        <f t="shared" si="15"/>
        <v>4.1846530620070306</v>
      </c>
      <c r="AI3" s="7">
        <f t="shared" si="16"/>
        <v>2.6457513110645908E-2</v>
      </c>
      <c r="AJ3" s="7">
        <f t="shared" si="17"/>
        <v>1.4143549766589715E-2</v>
      </c>
      <c r="AK3" s="7">
        <f t="shared" si="18"/>
        <v>3.0000666659259424E-2</v>
      </c>
      <c r="AL3" s="7">
        <f t="shared" ref="AL3:AL56" si="28">1.3*AH3</f>
        <v>5.4400489806091397</v>
      </c>
      <c r="AM3" s="7">
        <f t="shared" ref="AM3:AM56" si="29">0.7*AH3</f>
        <v>2.929257143404921</v>
      </c>
      <c r="AN3" s="7">
        <f t="shared" ref="AN3:AN57" si="30">0.5*(AL3+AM3)</f>
        <v>4.1846530620070306</v>
      </c>
      <c r="AO3" s="9">
        <f t="shared" si="19"/>
        <v>4181.1087023120199</v>
      </c>
      <c r="AP3" s="9">
        <f t="shared" si="20"/>
        <v>0.61512556894371406</v>
      </c>
      <c r="AQ3" s="9">
        <f t="shared" si="21"/>
        <v>5</v>
      </c>
      <c r="AR3" s="9">
        <f t="shared" si="22"/>
        <v>7.9249400770583232E-4</v>
      </c>
      <c r="AS3" s="12">
        <f t="shared" si="23"/>
        <v>1.2798654923651744E-5</v>
      </c>
      <c r="AT3" s="9">
        <f t="shared" si="24"/>
        <v>0.18564204076953247</v>
      </c>
      <c r="AU3" s="9">
        <f t="shared" ref="AU3:AU47" si="31">((AO3*(Z3))/AD3)</f>
        <v>0.12939028535736502</v>
      </c>
      <c r="AV3" s="9">
        <f t="shared" ref="AV3:AV56" si="32">(F3/1000)/((AA3/(AF3*(AB3-AE3)))^0.5)</f>
        <v>7.4481278791017722</v>
      </c>
      <c r="AY3" s="7">
        <f t="shared" ref="AY3:AY56" si="33">0.131*(AE3*AD3)*(((AF3*AA3)*(AB3-AE3)/(AE3^2))^0.25)</f>
        <v>1163436.9773101767</v>
      </c>
      <c r="AZ3" s="7">
        <f t="shared" ref="AZ3:AZ56" si="34">AY3/10^6</f>
        <v>1.1634369773101767</v>
      </c>
      <c r="BA3" s="7">
        <f t="shared" ref="BA3:BA56" si="35">(U3-AZ3)*100/U3</f>
        <v>72.197528443321588</v>
      </c>
      <c r="BB3" s="7">
        <f t="shared" ref="BB3:BB56" si="36">ABS(BA3)</f>
        <v>72.197528443321588</v>
      </c>
      <c r="BD3" s="7">
        <f t="shared" ref="BD3:BD56" si="37">(AY3*3.5)/0.131</f>
        <v>31084194.050271895</v>
      </c>
      <c r="BE3" s="7">
        <f t="shared" ref="BE3:BE56" si="38">AQ3^-0.52</f>
        <v>0.43304756182248977</v>
      </c>
      <c r="BF3" s="7">
        <f t="shared" ref="BF3:BF56" si="39">(2.5*AV3)^-1.2</f>
        <v>2.9923710200117592E-2</v>
      </c>
      <c r="BG3" s="7">
        <f t="shared" ref="BG3:BG56" si="40">(1+AU3)^2</f>
        <v>1.2755224166595902</v>
      </c>
      <c r="BH3" s="7">
        <f t="shared" ref="BH3:BH56" si="41">0.8+(0.02*(180-C3)^0.5)</f>
        <v>1.0683281572999748</v>
      </c>
      <c r="BI3" s="7">
        <f t="shared" ref="BI3:BI56" si="42">10^6*(EXP(10.4*AU3))</f>
        <v>3840716.6151476433</v>
      </c>
      <c r="BJ3" s="7">
        <f t="shared" ref="BJ3:BJ56" si="43">(BD3*BE3*BF3*BG3*BH3)+BI3</f>
        <v>4389604.2153556906</v>
      </c>
      <c r="BK3" s="7">
        <f t="shared" ref="BK3:BK56" si="44">BJ3/10^6</f>
        <v>4.3896042153556909</v>
      </c>
      <c r="BL3" s="7">
        <f t="shared" ref="BL3:BL56" si="45">(U3-BK3)*100/U3</f>
        <v>-4.8976856697974922</v>
      </c>
      <c r="BM3" s="7">
        <f t="shared" ref="BM3:BM55" si="46">ABS(BL3)</f>
        <v>4.8976856697974922</v>
      </c>
      <c r="BO3" s="7">
        <f t="shared" ref="BO3:BO56" si="47">0.012*(AE3*AD3)*(((AB3-AE3)/AE3)^0.6)</f>
        <v>1380488.367471213</v>
      </c>
      <c r="BP3" s="7">
        <f t="shared" ref="BP3:BP56" si="48">BO3/10^6</f>
        <v>1.380488367471213</v>
      </c>
      <c r="BQ3" s="7">
        <f t="shared" ref="BQ3:BQ56" si="49">(U3-BP3)*100/U3</f>
        <v>67.010685306152766</v>
      </c>
      <c r="BR3" s="7">
        <f t="shared" ref="BR3:BR56" si="50">ABS(BQ3)</f>
        <v>67.010685306152766</v>
      </c>
      <c r="BT3" s="7">
        <f t="shared" ref="BT3:BT56" si="51">(0.16/0.131)*AY3</f>
        <v>1420991.7280124296</v>
      </c>
      <c r="BU3" s="7">
        <f t="shared" ref="BU3:BU56" si="52">BT3/10^6</f>
        <v>1.4209917280124296</v>
      </c>
      <c r="BV3" s="7">
        <f t="shared" ref="BV3:BV56" si="53">(U3-BU3)*100/U3</f>
        <v>66.042782831537821</v>
      </c>
      <c r="BW3" s="7">
        <f t="shared" ref="BW3:BW56" si="54">ABS(BV3)</f>
        <v>66.042782831537821</v>
      </c>
      <c r="BY3" s="7">
        <f t="shared" ref="BY3:BY56" si="55">0.0584*(AB3/AE3)^0.2</f>
        <v>0.2581523487581906</v>
      </c>
      <c r="BZ3" s="7">
        <f t="shared" ref="BZ3:BZ56" si="56">AB3/AE3</f>
        <v>1687.7812902453195</v>
      </c>
      <c r="CA3" s="7">
        <f t="shared" ref="CA3:CA56" si="57">0.721*(BY3^(5/8))</f>
        <v>0.30928425758670608</v>
      </c>
      <c r="CB3" s="7">
        <f t="shared" ref="CB3:CB56" si="58">(1-(BY3))^(5/16)</f>
        <v>0.91090555777871318</v>
      </c>
      <c r="CC3" s="7">
        <f t="shared" ref="CC3:CC56" si="59">((BZ3+1)/((((11/16)*BZ3)+1)^(3/5)))^(5/16)</f>
        <v>2.7160398015076357</v>
      </c>
      <c r="CD3" s="7">
        <f t="shared" ref="CD3:CD56" si="60">AY3/0.131</f>
        <v>8881198.3000776842</v>
      </c>
      <c r="CE3" s="7">
        <f t="shared" ref="CE3:CE56" si="61">CA3*CB3*CC3*CD3</f>
        <v>6795773.0072732894</v>
      </c>
      <c r="CF3" s="7">
        <f t="shared" ref="CF3:CF56" si="62">CE3/10^6</f>
        <v>6.7957730072732891</v>
      </c>
      <c r="CG3" s="7">
        <f t="shared" ref="CG3:CG56" si="63">(U3-CF3)*100/U3</f>
        <v>-62.397525113203073</v>
      </c>
      <c r="CH3" s="7">
        <f t="shared" ref="CH3:CH56" si="64">ABS(CG3)</f>
        <v>62.397525113203073</v>
      </c>
      <c r="CJ3" s="7">
        <f t="shared" ref="CJ3:CJ56" si="65">0.0002*(8000*490*15.2)^0.5</f>
        <v>1.5438134602341049</v>
      </c>
      <c r="CK3" s="7">
        <f t="shared" ref="CK3:CK56" si="66">(PI()/24)*(CJ3/(CJ3+1))</f>
        <v>7.9441638524897912E-2</v>
      </c>
      <c r="CL3" s="7">
        <f t="shared" ref="CL3:CL56" si="67">0.3014-(0.01507*(E3/1000))</f>
        <v>0.29989300000000002</v>
      </c>
      <c r="CM3" s="7">
        <f t="shared" ref="CM3:CM56" si="68">(AF3*(AB3-AE3)/AA3)^0.5</f>
        <v>372.40639395508862</v>
      </c>
      <c r="CN3" s="7">
        <f t="shared" ref="CN3:CN56" si="69">1+(CL3*CM3)</f>
        <v>112.68207070237339</v>
      </c>
      <c r="CO3" s="7">
        <f t="shared" ref="CO3:CO56" si="70">((BZ3)^(3/4))*(AO3/AD3)</f>
        <v>0.48755090397995149</v>
      </c>
      <c r="CP3" s="7">
        <f t="shared" ref="CP3:CP56" si="71">0.03*CO3*Z3</f>
        <v>1.0221392173023394</v>
      </c>
      <c r="CQ3" s="7">
        <f t="shared" ref="CQ3:CQ56" si="72">1+CP3</f>
        <v>2.0221392173023394</v>
      </c>
      <c r="CR3" s="7">
        <f t="shared" ref="CR3:CR56" si="73">CK3*CN3*CQ3</f>
        <v>18.101479145519171</v>
      </c>
      <c r="CS3" s="7">
        <f t="shared" ref="CS3:CS56" si="74">CR3*AZ3</f>
        <v>21.059930181906026</v>
      </c>
      <c r="CT3" s="7">
        <f t="shared" ref="CT3:CT56" si="75">(U3-CS3)*100/U3</f>
        <v>-403.26585907710415</v>
      </c>
      <c r="CU3" s="7">
        <f t="shared" ref="CU3:CU56" si="76">ABS(CT3)</f>
        <v>403.26585907710415</v>
      </c>
      <c r="CW3" s="7">
        <f t="shared" ref="CW3:CW56" si="77">1+(0.065*((BZ3)^-0.2)*(AU3*BZ3))</f>
        <v>4.2112044863669187</v>
      </c>
      <c r="CX3" s="7">
        <f t="shared" ref="CX3:CX56" si="78">CW3*AZ3</f>
        <v>4.8994710184537835</v>
      </c>
      <c r="CY3" s="7">
        <f t="shared" ref="CY3:CY56" si="79">(U3-CX3)*100/U3</f>
        <v>-17.081892951572765</v>
      </c>
      <c r="CZ3" s="7">
        <f t="shared" ref="CZ3:CZ56" si="80">ABS(CY3)</f>
        <v>17.081892951572765</v>
      </c>
      <c r="DB3" s="7">
        <f t="shared" ref="DB3:DB56" si="81">1+(0.102*((BZ3)^-0.25)*(AU3*BZ3))</f>
        <v>4.4752733388279538</v>
      </c>
      <c r="DC3" s="7">
        <f t="shared" ref="DC3:DC56" si="82">DB3*AZ3</f>
        <v>5.2066984859628169</v>
      </c>
      <c r="DD3" s="7">
        <f t="shared" ref="DD3:DD56" si="83">(U3-DC3)*100/U3</f>
        <v>-24.423659711125396</v>
      </c>
      <c r="DE3" s="7">
        <f t="shared" ref="DE3:DE56" si="84">ABS(DD3)</f>
        <v>24.423659711125396</v>
      </c>
      <c r="DG3" s="7">
        <f t="shared" ref="DG3:DG56" si="85">AY3/0.131</f>
        <v>8881198.3000776842</v>
      </c>
      <c r="DH3" s="7">
        <f t="shared" ref="DH3:DH56" si="86">0.0125*(190-C3)^0.5</f>
        <v>0.17230060940112779</v>
      </c>
      <c r="DI3" s="7">
        <f t="shared" ref="DI3:DI56" si="87">DH3*DG3</f>
        <v>1530235.8793156452</v>
      </c>
      <c r="DJ3" s="7">
        <f t="shared" ref="DJ3:DJ56" si="88">DI3/10^6</f>
        <v>1.5302358793156452</v>
      </c>
      <c r="DK3" s="7">
        <f t="shared" ref="DK3:DK56" si="89">(U3-DJ3)*100/U3</f>
        <v>63.432192426922043</v>
      </c>
      <c r="DL3" s="7">
        <f t="shared" ref="DL3:DL56" si="90">ABS(DK3)</f>
        <v>63.432192426922043</v>
      </c>
    </row>
    <row r="4" spans="1:116" x14ac:dyDescent="0.3">
      <c r="A4" s="7">
        <v>3</v>
      </c>
      <c r="B4" s="8" t="s">
        <v>41</v>
      </c>
      <c r="C4" s="9">
        <v>180</v>
      </c>
      <c r="D4" s="7">
        <v>131.13999999999999</v>
      </c>
      <c r="E4" s="10">
        <v>100</v>
      </c>
      <c r="F4" s="9">
        <v>20</v>
      </c>
      <c r="G4" s="21">
        <f t="shared" si="25"/>
        <v>3.183098861837907</v>
      </c>
      <c r="H4" s="7">
        <v>0.2</v>
      </c>
      <c r="I4" s="7">
        <v>455.85400779246601</v>
      </c>
      <c r="J4" s="7">
        <v>10.992796897170001</v>
      </c>
      <c r="K4" s="7">
        <f t="shared" si="0"/>
        <v>2.4114731271979137E-2</v>
      </c>
      <c r="L4" s="7">
        <f t="shared" si="26"/>
        <v>7.9999999999999996E-6</v>
      </c>
      <c r="M4" s="7">
        <f t="shared" si="1"/>
        <v>1.9291785017583307E-6</v>
      </c>
      <c r="N4" s="7">
        <f t="shared" si="2"/>
        <v>5011.1105224235298</v>
      </c>
      <c r="O4" s="7">
        <f t="shared" si="3"/>
        <v>1.5400000000000002E-5</v>
      </c>
      <c r="P4" s="7">
        <f t="shared" si="4"/>
        <v>9.9999999999999995E-8</v>
      </c>
      <c r="Q4" s="7">
        <v>0.02</v>
      </c>
      <c r="R4" s="7">
        <f t="shared" si="5"/>
        <v>1.2987012987012987E-4</v>
      </c>
      <c r="S4" s="7">
        <f t="shared" si="6"/>
        <v>26.987386548110866</v>
      </c>
      <c r="T4" s="9">
        <f t="shared" si="7"/>
        <v>4984.1231358754185</v>
      </c>
      <c r="U4" s="11">
        <f t="shared" si="27"/>
        <v>2.4920615679377094</v>
      </c>
      <c r="V4" s="7">
        <v>32.104179983839998</v>
      </c>
      <c r="W4" s="7">
        <v>33.747295800320003</v>
      </c>
      <c r="X4" s="7">
        <f t="shared" si="8"/>
        <v>32.925737892080001</v>
      </c>
      <c r="Y4" s="7">
        <v>99.4</v>
      </c>
      <c r="Z4" s="9">
        <f t="shared" si="9"/>
        <v>66.474262107919998</v>
      </c>
      <c r="AA4" s="9">
        <f t="shared" si="10"/>
        <v>6.9714852421584012E-2</v>
      </c>
      <c r="AB4" s="9">
        <f t="shared" si="11"/>
        <v>994.78634529918691</v>
      </c>
      <c r="AC4" s="12">
        <v>0.99839999999999995</v>
      </c>
      <c r="AD4" s="12">
        <f t="shared" si="12"/>
        <v>2258180.3232856165</v>
      </c>
      <c r="AE4" s="12">
        <f t="shared" si="13"/>
        <v>0.59000762111999994</v>
      </c>
      <c r="AF4" s="12">
        <v>9.81</v>
      </c>
      <c r="AG4" s="7">
        <f t="shared" si="14"/>
        <v>2492061.5679377094</v>
      </c>
      <c r="AH4" s="7">
        <f t="shared" si="15"/>
        <v>2.4920615679377094</v>
      </c>
      <c r="AI4" s="7">
        <f t="shared" si="16"/>
        <v>2.6457513110645908E-2</v>
      </c>
      <c r="AJ4" s="7">
        <f t="shared" si="17"/>
        <v>1.4143549766589715E-2</v>
      </c>
      <c r="AK4" s="7">
        <f t="shared" si="18"/>
        <v>3.0000666659259424E-2</v>
      </c>
      <c r="AL4" s="7">
        <f t="shared" si="28"/>
        <v>3.2396800383190225</v>
      </c>
      <c r="AM4" s="7">
        <f t="shared" si="29"/>
        <v>1.7444430975563965</v>
      </c>
      <c r="AN4" s="7">
        <f t="shared" si="30"/>
        <v>2.4920615679377094</v>
      </c>
      <c r="AO4" s="9">
        <f t="shared" si="19"/>
        <v>4181.2770812124818</v>
      </c>
      <c r="AP4" s="9">
        <f t="shared" si="20"/>
        <v>0.62049558120519643</v>
      </c>
      <c r="AQ4" s="9">
        <f t="shared" si="21"/>
        <v>5</v>
      </c>
      <c r="AR4" s="9">
        <f t="shared" si="22"/>
        <v>7.4399348225862765E-4</v>
      </c>
      <c r="AS4" s="12">
        <f t="shared" si="23"/>
        <v>1.2798654923651744E-5</v>
      </c>
      <c r="AT4" s="9">
        <f t="shared" si="24"/>
        <v>0.19946220428396422</v>
      </c>
      <c r="AU4" s="9">
        <f t="shared" si="31"/>
        <v>0.12308463844815912</v>
      </c>
      <c r="AV4" s="9">
        <f t="shared" si="32"/>
        <v>7.4806256605978039</v>
      </c>
      <c r="AY4" s="7">
        <f t="shared" si="33"/>
        <v>1160313.4992382019</v>
      </c>
      <c r="AZ4" s="7">
        <f t="shared" si="34"/>
        <v>1.1603134992382018</v>
      </c>
      <c r="BA4" s="7">
        <f t="shared" si="35"/>
        <v>53.439613444285321</v>
      </c>
      <c r="BB4" s="7">
        <f t="shared" si="36"/>
        <v>53.439613444285321</v>
      </c>
      <c r="BD4" s="7">
        <f t="shared" si="37"/>
        <v>31000742.346058827</v>
      </c>
      <c r="BE4" s="7">
        <f t="shared" si="38"/>
        <v>0.43304756182248977</v>
      </c>
      <c r="BF4" s="7">
        <f t="shared" si="39"/>
        <v>2.9767782401026729E-2</v>
      </c>
      <c r="BG4" s="7">
        <f t="shared" si="40"/>
        <v>1.2613191051182324</v>
      </c>
      <c r="BH4" s="7">
        <f t="shared" si="41"/>
        <v>0.8</v>
      </c>
      <c r="BI4" s="7">
        <f t="shared" si="42"/>
        <v>3596928.3310190821</v>
      </c>
      <c r="BJ4" s="7">
        <f t="shared" si="43"/>
        <v>4000173.4643894904</v>
      </c>
      <c r="BK4" s="7">
        <f t="shared" si="44"/>
        <v>4.0001734643894906</v>
      </c>
      <c r="BL4" s="7">
        <f t="shared" si="45"/>
        <v>-60.516638748207583</v>
      </c>
      <c r="BM4" s="7">
        <f t="shared" si="46"/>
        <v>60.516638748207583</v>
      </c>
      <c r="BO4" s="7">
        <f t="shared" si="47"/>
        <v>1379641.3706517005</v>
      </c>
      <c r="BP4" s="7">
        <f t="shared" si="48"/>
        <v>1.3796413706517006</v>
      </c>
      <c r="BQ4" s="7">
        <f t="shared" si="49"/>
        <v>44.638551936202184</v>
      </c>
      <c r="BR4" s="7">
        <f t="shared" si="50"/>
        <v>44.638551936202184</v>
      </c>
      <c r="BT4" s="7">
        <f t="shared" si="51"/>
        <v>1417176.7929626894</v>
      </c>
      <c r="BU4" s="7">
        <f t="shared" si="52"/>
        <v>1.4171767929626895</v>
      </c>
      <c r="BV4" s="7">
        <f t="shared" si="53"/>
        <v>43.132352298363735</v>
      </c>
      <c r="BW4" s="7">
        <f t="shared" si="54"/>
        <v>43.132352298363735</v>
      </c>
      <c r="BY4" s="7">
        <f t="shared" si="55"/>
        <v>0.25809957291298957</v>
      </c>
      <c r="BZ4" s="7">
        <f t="shared" si="56"/>
        <v>1686.0567723020313</v>
      </c>
      <c r="CA4" s="7">
        <f t="shared" si="57"/>
        <v>0.30924473789048723</v>
      </c>
      <c r="CB4" s="7">
        <f t="shared" si="58"/>
        <v>0.91092580816091928</v>
      </c>
      <c r="CC4" s="7">
        <f t="shared" si="59"/>
        <v>2.7156928171540349</v>
      </c>
      <c r="CD4" s="7">
        <f t="shared" si="60"/>
        <v>8857354.9560168087</v>
      </c>
      <c r="CE4" s="7">
        <f t="shared" si="61"/>
        <v>6775947.2727578124</v>
      </c>
      <c r="CF4" s="7">
        <f t="shared" si="62"/>
        <v>6.7759472727578123</v>
      </c>
      <c r="CG4" s="7">
        <f t="shared" si="63"/>
        <v>-171.901278842208</v>
      </c>
      <c r="CH4" s="7">
        <f t="shared" si="64"/>
        <v>171.901278842208</v>
      </c>
      <c r="CJ4" s="7">
        <f t="shared" si="65"/>
        <v>1.5438134602341049</v>
      </c>
      <c r="CK4" s="7">
        <f t="shared" si="66"/>
        <v>7.9441638524897912E-2</v>
      </c>
      <c r="CL4" s="7">
        <f t="shared" si="67"/>
        <v>0.29989300000000002</v>
      </c>
      <c r="CM4" s="7">
        <f t="shared" si="68"/>
        <v>374.03128302989023</v>
      </c>
      <c r="CN4" s="7">
        <f t="shared" si="69"/>
        <v>113.16936356168289</v>
      </c>
      <c r="CO4" s="7">
        <f t="shared" si="70"/>
        <v>0.48719685323562156</v>
      </c>
      <c r="CP4" s="7">
        <f t="shared" si="71"/>
        <v>0.97158153960415616</v>
      </c>
      <c r="CQ4" s="7">
        <f t="shared" si="72"/>
        <v>1.9715815396041561</v>
      </c>
      <c r="CR4" s="7">
        <f t="shared" si="73"/>
        <v>17.725227164032258</v>
      </c>
      <c r="CS4" s="7">
        <f t="shared" si="74"/>
        <v>20.566820355490297</v>
      </c>
      <c r="CT4" s="7">
        <f t="shared" si="75"/>
        <v>-725.29342854519621</v>
      </c>
      <c r="CU4" s="7">
        <f t="shared" si="76"/>
        <v>725.29342854519621</v>
      </c>
      <c r="CW4" s="7">
        <f t="shared" si="77"/>
        <v>4.0522139017865655</v>
      </c>
      <c r="CX4" s="7">
        <f t="shared" si="78"/>
        <v>4.7018384920436569</v>
      </c>
      <c r="CY4" s="7">
        <f t="shared" si="79"/>
        <v>-88.67264567362335</v>
      </c>
      <c r="CZ4" s="7">
        <f t="shared" si="80"/>
        <v>88.67264567362335</v>
      </c>
      <c r="DB4" s="7">
        <f t="shared" si="81"/>
        <v>4.303377234654131</v>
      </c>
      <c r="DC4" s="7">
        <f t="shared" si="82"/>
        <v>4.9932666976835511</v>
      </c>
      <c r="DD4" s="7">
        <f t="shared" si="83"/>
        <v>-100.36690754055884</v>
      </c>
      <c r="DE4" s="7">
        <f t="shared" si="84"/>
        <v>100.36690754055884</v>
      </c>
      <c r="DG4" s="7">
        <f t="shared" si="85"/>
        <v>8857354.9560168087</v>
      </c>
      <c r="DH4" s="7">
        <f t="shared" si="86"/>
        <v>3.952847075210475E-2</v>
      </c>
      <c r="DI4" s="7">
        <f t="shared" si="87"/>
        <v>350117.69631992048</v>
      </c>
      <c r="DJ4" s="7">
        <f t="shared" si="88"/>
        <v>0.35011769631992046</v>
      </c>
      <c r="DK4" s="7">
        <f t="shared" si="89"/>
        <v>85.950680319280465</v>
      </c>
      <c r="DL4" s="7">
        <f t="shared" si="90"/>
        <v>85.950680319280465</v>
      </c>
    </row>
    <row r="5" spans="1:116" x14ac:dyDescent="0.3">
      <c r="A5" s="7">
        <v>4</v>
      </c>
      <c r="B5" s="8" t="s">
        <v>41</v>
      </c>
      <c r="C5" s="9">
        <v>180</v>
      </c>
      <c r="D5" s="7">
        <v>128.83000000000001</v>
      </c>
      <c r="E5" s="10">
        <v>100</v>
      </c>
      <c r="F5" s="9">
        <v>20</v>
      </c>
      <c r="G5" s="21">
        <f t="shared" si="25"/>
        <v>3.183098861837907</v>
      </c>
      <c r="H5" s="7">
        <v>0.2</v>
      </c>
      <c r="I5" s="7">
        <v>461.82166317939499</v>
      </c>
      <c r="J5" s="7">
        <v>11.1740912496</v>
      </c>
      <c r="K5" s="7">
        <f t="shared" si="0"/>
        <v>2.4195684482777102E-2</v>
      </c>
      <c r="L5" s="7">
        <f t="shared" si="26"/>
        <v>7.9999999999999996E-6</v>
      </c>
      <c r="M5" s="7">
        <f t="shared" si="1"/>
        <v>1.9356547586221681E-6</v>
      </c>
      <c r="N5" s="7">
        <f t="shared" si="2"/>
        <v>5160.4374054085956</v>
      </c>
      <c r="O5" s="7">
        <f t="shared" si="3"/>
        <v>1.5400000000000002E-5</v>
      </c>
      <c r="P5" s="7">
        <f t="shared" si="4"/>
        <v>9.9999999999999995E-8</v>
      </c>
      <c r="Q5" s="7">
        <v>0.02</v>
      </c>
      <c r="R5" s="7">
        <f t="shared" si="5"/>
        <v>1.2987012987012987E-4</v>
      </c>
      <c r="S5" s="7">
        <f t="shared" si="6"/>
        <v>27.698603711919812</v>
      </c>
      <c r="T5" s="9">
        <f t="shared" si="7"/>
        <v>5132.7388016966761</v>
      </c>
      <c r="U5" s="11">
        <f t="shared" si="27"/>
        <v>2.566369400848338</v>
      </c>
      <c r="V5" s="7">
        <v>32.104179983839998</v>
      </c>
      <c r="W5" s="7">
        <v>33.747295800320003</v>
      </c>
      <c r="X5" s="7">
        <f t="shared" si="8"/>
        <v>32.925737892080001</v>
      </c>
      <c r="Y5" s="7">
        <v>99.4</v>
      </c>
      <c r="Z5" s="9">
        <f t="shared" si="9"/>
        <v>66.474262107919998</v>
      </c>
      <c r="AA5" s="9">
        <f t="shared" si="10"/>
        <v>6.9714852421584012E-2</v>
      </c>
      <c r="AB5" s="9">
        <f t="shared" si="11"/>
        <v>994.78634529918691</v>
      </c>
      <c r="AC5" s="12">
        <v>0.99839999999999995</v>
      </c>
      <c r="AD5" s="12">
        <f t="shared" si="12"/>
        <v>2258180.3232856165</v>
      </c>
      <c r="AE5" s="12">
        <f t="shared" si="13"/>
        <v>0.59000762111999994</v>
      </c>
      <c r="AF5" s="12">
        <v>9.81</v>
      </c>
      <c r="AG5" s="7">
        <f t="shared" si="14"/>
        <v>2566369.4008483379</v>
      </c>
      <c r="AH5" s="7">
        <f t="shared" si="15"/>
        <v>2.566369400848338</v>
      </c>
      <c r="AI5" s="7">
        <f t="shared" si="16"/>
        <v>2.6457513110645908E-2</v>
      </c>
      <c r="AJ5" s="7">
        <f t="shared" si="17"/>
        <v>1.4143549766589715E-2</v>
      </c>
      <c r="AK5" s="7">
        <f t="shared" si="18"/>
        <v>3.0000666659259424E-2</v>
      </c>
      <c r="AL5" s="7">
        <f t="shared" si="28"/>
        <v>3.3362802211028395</v>
      </c>
      <c r="AM5" s="7">
        <f t="shared" si="29"/>
        <v>1.7964585805938365</v>
      </c>
      <c r="AN5" s="7">
        <f t="shared" si="30"/>
        <v>2.566369400848338</v>
      </c>
      <c r="AO5" s="9">
        <f t="shared" si="19"/>
        <v>4181.2770812124818</v>
      </c>
      <c r="AP5" s="9">
        <f t="shared" si="20"/>
        <v>0.62049558120519643</v>
      </c>
      <c r="AQ5" s="9">
        <f t="shared" si="21"/>
        <v>5</v>
      </c>
      <c r="AR5" s="9">
        <f t="shared" si="22"/>
        <v>7.4399348225862765E-4</v>
      </c>
      <c r="AS5" s="12">
        <f t="shared" si="23"/>
        <v>1.2798654923651744E-5</v>
      </c>
      <c r="AT5" s="9">
        <f t="shared" si="24"/>
        <v>0.19946220428396422</v>
      </c>
      <c r="AU5" s="9">
        <f t="shared" si="31"/>
        <v>0.12308463844815912</v>
      </c>
      <c r="AV5" s="9">
        <f t="shared" si="32"/>
        <v>7.4806256605978039</v>
      </c>
      <c r="AY5" s="7">
        <f t="shared" si="33"/>
        <v>1160313.4992382019</v>
      </c>
      <c r="AZ5" s="7">
        <f t="shared" si="34"/>
        <v>1.1603134992382018</v>
      </c>
      <c r="BA5" s="7">
        <f t="shared" si="35"/>
        <v>54.787744162837626</v>
      </c>
      <c r="BB5" s="7">
        <f t="shared" si="36"/>
        <v>54.787744162837626</v>
      </c>
      <c r="BD5" s="7">
        <f t="shared" si="37"/>
        <v>31000742.346058827</v>
      </c>
      <c r="BE5" s="7">
        <f t="shared" si="38"/>
        <v>0.43304756182248977</v>
      </c>
      <c r="BF5" s="7">
        <f t="shared" si="39"/>
        <v>2.9767782401026729E-2</v>
      </c>
      <c r="BG5" s="7">
        <f t="shared" si="40"/>
        <v>1.2613191051182324</v>
      </c>
      <c r="BH5" s="7">
        <f t="shared" si="41"/>
        <v>0.8</v>
      </c>
      <c r="BI5" s="7">
        <f t="shared" si="42"/>
        <v>3596928.3310190821</v>
      </c>
      <c r="BJ5" s="7">
        <f t="shared" si="43"/>
        <v>4000173.4643894904</v>
      </c>
      <c r="BK5" s="7">
        <f t="shared" si="44"/>
        <v>4.0001734643894906</v>
      </c>
      <c r="BL5" s="7">
        <f t="shared" si="45"/>
        <v>-55.868966605789282</v>
      </c>
      <c r="BM5" s="7">
        <f t="shared" si="46"/>
        <v>55.868966605789282</v>
      </c>
      <c r="BO5" s="7">
        <f t="shared" si="47"/>
        <v>1379641.3706517005</v>
      </c>
      <c r="BP5" s="7">
        <f t="shared" si="48"/>
        <v>1.3796413706517006</v>
      </c>
      <c r="BQ5" s="7">
        <f t="shared" si="49"/>
        <v>46.241512613279802</v>
      </c>
      <c r="BR5" s="7">
        <f t="shared" si="50"/>
        <v>46.241512613279802</v>
      </c>
      <c r="BT5" s="7">
        <f t="shared" si="51"/>
        <v>1417176.7929626894</v>
      </c>
      <c r="BU5" s="7">
        <f t="shared" si="52"/>
        <v>1.4171767929626895</v>
      </c>
      <c r="BV5" s="7">
        <f t="shared" si="53"/>
        <v>44.778924168351281</v>
      </c>
      <c r="BW5" s="7">
        <f t="shared" si="54"/>
        <v>44.778924168351281</v>
      </c>
      <c r="BY5" s="7">
        <f t="shared" si="55"/>
        <v>0.25809957291298957</v>
      </c>
      <c r="BZ5" s="7">
        <f t="shared" si="56"/>
        <v>1686.0567723020313</v>
      </c>
      <c r="CA5" s="7">
        <f t="shared" si="57"/>
        <v>0.30924473789048723</v>
      </c>
      <c r="CB5" s="7">
        <f t="shared" si="58"/>
        <v>0.91092580816091928</v>
      </c>
      <c r="CC5" s="7">
        <f t="shared" si="59"/>
        <v>2.7156928171540349</v>
      </c>
      <c r="CD5" s="7">
        <f t="shared" si="60"/>
        <v>8857354.9560168087</v>
      </c>
      <c r="CE5" s="7">
        <f t="shared" si="61"/>
        <v>6775947.2727578124</v>
      </c>
      <c r="CF5" s="7">
        <f t="shared" si="62"/>
        <v>6.7759472727578123</v>
      </c>
      <c r="CG5" s="7">
        <f t="shared" si="63"/>
        <v>-164.02852490829878</v>
      </c>
      <c r="CH5" s="7">
        <f t="shared" si="64"/>
        <v>164.02852490829878</v>
      </c>
      <c r="CJ5" s="7">
        <f t="shared" si="65"/>
        <v>1.5438134602341049</v>
      </c>
      <c r="CK5" s="7">
        <f t="shared" si="66"/>
        <v>7.9441638524897912E-2</v>
      </c>
      <c r="CL5" s="7">
        <f t="shared" si="67"/>
        <v>0.29989300000000002</v>
      </c>
      <c r="CM5" s="7">
        <f t="shared" si="68"/>
        <v>374.03128302989023</v>
      </c>
      <c r="CN5" s="7">
        <f t="shared" si="69"/>
        <v>113.16936356168289</v>
      </c>
      <c r="CO5" s="7">
        <f t="shared" si="70"/>
        <v>0.48719685323562156</v>
      </c>
      <c r="CP5" s="7">
        <f t="shared" si="71"/>
        <v>0.97158153960415616</v>
      </c>
      <c r="CQ5" s="7">
        <f t="shared" si="72"/>
        <v>1.9715815396041561</v>
      </c>
      <c r="CR5" s="7">
        <f t="shared" si="73"/>
        <v>17.725227164032258</v>
      </c>
      <c r="CS5" s="7">
        <f t="shared" si="74"/>
        <v>20.566820355490297</v>
      </c>
      <c r="CT5" s="7">
        <f t="shared" si="75"/>
        <v>-701.39750531204652</v>
      </c>
      <c r="CU5" s="7">
        <f t="shared" si="76"/>
        <v>701.39750531204652</v>
      </c>
      <c r="CW5" s="7">
        <f t="shared" si="77"/>
        <v>4.0522139017865655</v>
      </c>
      <c r="CX5" s="7">
        <f t="shared" si="78"/>
        <v>4.7018384920436569</v>
      </c>
      <c r="CY5" s="7">
        <f t="shared" si="79"/>
        <v>-83.209731634480178</v>
      </c>
      <c r="CZ5" s="7">
        <f t="shared" si="80"/>
        <v>83.209731634480178</v>
      </c>
      <c r="DB5" s="7">
        <f t="shared" si="81"/>
        <v>4.303377234654131</v>
      </c>
      <c r="DC5" s="7">
        <f t="shared" si="82"/>
        <v>4.9932666976835511</v>
      </c>
      <c r="DD5" s="7">
        <f t="shared" si="83"/>
        <v>-94.565392497002918</v>
      </c>
      <c r="DE5" s="7">
        <f t="shared" si="84"/>
        <v>94.565392497002918</v>
      </c>
      <c r="DG5" s="7">
        <f t="shared" si="85"/>
        <v>8857354.9560168087</v>
      </c>
      <c r="DH5" s="7">
        <f t="shared" si="86"/>
        <v>3.952847075210475E-2</v>
      </c>
      <c r="DI5" s="7">
        <f t="shared" si="87"/>
        <v>350117.69631992048</v>
      </c>
      <c r="DJ5" s="7">
        <f t="shared" si="88"/>
        <v>0.35011769631992046</v>
      </c>
      <c r="DK5" s="7">
        <f t="shared" si="89"/>
        <v>86.357470744305729</v>
      </c>
      <c r="DL5" s="7">
        <f t="shared" si="90"/>
        <v>86.357470744305729</v>
      </c>
    </row>
    <row r="6" spans="1:116" x14ac:dyDescent="0.3">
      <c r="A6" s="7">
        <v>5</v>
      </c>
      <c r="B6" s="8" t="s">
        <v>44</v>
      </c>
      <c r="C6" s="9">
        <v>0</v>
      </c>
      <c r="D6" s="7">
        <v>81.38</v>
      </c>
      <c r="E6" s="10">
        <v>50</v>
      </c>
      <c r="F6" s="9">
        <v>10</v>
      </c>
      <c r="G6" s="21">
        <f t="shared" si="25"/>
        <v>1.5915494309189535</v>
      </c>
      <c r="H6" s="7">
        <v>0.2</v>
      </c>
      <c r="I6" s="7">
        <v>318.94641050784003</v>
      </c>
      <c r="J6" s="7">
        <v>9.2691996769680003</v>
      </c>
      <c r="K6" s="7">
        <f t="shared" si="0"/>
        <v>2.9061934455412702E-2</v>
      </c>
      <c r="L6" s="7">
        <f t="shared" si="26"/>
        <v>3.9999999999999998E-6</v>
      </c>
      <c r="M6" s="7">
        <f t="shared" si="1"/>
        <v>2.3249547564330159E-6</v>
      </c>
      <c r="N6" s="7">
        <f t="shared" si="2"/>
        <v>2956.377965249374</v>
      </c>
      <c r="O6" s="7">
        <f t="shared" si="3"/>
        <v>1.5400000000000002E-5</v>
      </c>
      <c r="P6" s="7">
        <f t="shared" si="4"/>
        <v>9.9999999999999995E-8</v>
      </c>
      <c r="Q6" s="7">
        <v>0.02</v>
      </c>
      <c r="R6" s="7">
        <f t="shared" si="5"/>
        <v>1.2987012987012987E-4</v>
      </c>
      <c r="S6" s="7">
        <f t="shared" si="6"/>
        <v>13.211274386472157</v>
      </c>
      <c r="T6" s="9">
        <f t="shared" si="7"/>
        <v>2943.1666908629018</v>
      </c>
      <c r="U6" s="11">
        <f t="shared" si="27"/>
        <v>5.8863333817258034</v>
      </c>
      <c r="V6" s="7">
        <v>18.05358130202</v>
      </c>
      <c r="W6" s="7">
        <v>18.944096777630001</v>
      </c>
      <c r="X6" s="7">
        <f t="shared" si="8"/>
        <v>18.498839039825</v>
      </c>
      <c r="Y6" s="7">
        <v>99.4</v>
      </c>
      <c r="Z6" s="9">
        <f t="shared" si="9"/>
        <v>80.901160960175005</v>
      </c>
      <c r="AA6" s="9">
        <f t="shared" si="10"/>
        <v>7.2600232192035014E-2</v>
      </c>
      <c r="AB6" s="9">
        <f t="shared" si="11"/>
        <v>998.61630796130748</v>
      </c>
      <c r="AC6" s="12">
        <v>0.99839999999999995</v>
      </c>
      <c r="AD6" s="12">
        <f t="shared" si="12"/>
        <v>2258180.3232856165</v>
      </c>
      <c r="AE6" s="12">
        <f t="shared" si="13"/>
        <v>0.59000762111999994</v>
      </c>
      <c r="AF6" s="12">
        <v>9.81</v>
      </c>
      <c r="AG6" s="7">
        <f t="shared" si="14"/>
        <v>5886333.381725803</v>
      </c>
      <c r="AH6" s="7">
        <f t="shared" si="15"/>
        <v>5.8863333817258034</v>
      </c>
      <c r="AI6" s="7">
        <f t="shared" si="16"/>
        <v>2.6457513110645908E-2</v>
      </c>
      <c r="AJ6" s="7">
        <f t="shared" si="17"/>
        <v>1.4143549766589715E-2</v>
      </c>
      <c r="AK6" s="7">
        <f t="shared" si="18"/>
        <v>3.0000666659259424E-2</v>
      </c>
      <c r="AL6" s="7">
        <f t="shared" si="28"/>
        <v>7.6522333962435445</v>
      </c>
      <c r="AM6" s="7">
        <f t="shared" si="29"/>
        <v>4.1204333672080624</v>
      </c>
      <c r="AN6" s="7">
        <f t="shared" si="30"/>
        <v>5.8863333817258034</v>
      </c>
      <c r="AO6" s="9">
        <f t="shared" si="19"/>
        <v>4185.3930163130335</v>
      </c>
      <c r="AP6" s="9">
        <f t="shared" si="20"/>
        <v>0.59617537542940147</v>
      </c>
      <c r="AQ6" s="9">
        <f t="shared" si="21"/>
        <v>5</v>
      </c>
      <c r="AR6" s="9">
        <f t="shared" si="22"/>
        <v>9.6359667918339545E-4</v>
      </c>
      <c r="AS6" s="12">
        <f t="shared" si="23"/>
        <v>1.2798654923651744E-5</v>
      </c>
      <c r="AT6" s="9">
        <f t="shared" si="24"/>
        <v>0.14782316408670951</v>
      </c>
      <c r="AU6" s="9">
        <f t="shared" si="31"/>
        <v>0.14994513529445289</v>
      </c>
      <c r="AV6" s="9">
        <f t="shared" si="32"/>
        <v>3.6722859571439801</v>
      </c>
      <c r="AY6" s="7">
        <f t="shared" si="33"/>
        <v>1173264.6237287836</v>
      </c>
      <c r="AZ6" s="7">
        <f t="shared" si="34"/>
        <v>1.1732646237287836</v>
      </c>
      <c r="BA6" s="7">
        <f t="shared" si="35"/>
        <v>80.067988888104793</v>
      </c>
      <c r="BB6" s="7">
        <f t="shared" si="36"/>
        <v>80.067988888104793</v>
      </c>
      <c r="BD6" s="7">
        <f t="shared" si="37"/>
        <v>31346764.756112535</v>
      </c>
      <c r="BE6" s="7">
        <f t="shared" si="38"/>
        <v>0.43304756182248977</v>
      </c>
      <c r="BF6" s="7">
        <f t="shared" si="39"/>
        <v>6.9911432225244943E-2</v>
      </c>
      <c r="BG6" s="7">
        <f t="shared" si="40"/>
        <v>1.3223738141873778</v>
      </c>
      <c r="BH6" s="7">
        <f t="shared" si="41"/>
        <v>1.0683281572999748</v>
      </c>
      <c r="BI6" s="7">
        <f t="shared" si="42"/>
        <v>4756106.6698760362</v>
      </c>
      <c r="BJ6" s="7">
        <f t="shared" si="43"/>
        <v>6096818.4874608461</v>
      </c>
      <c r="BK6" s="7">
        <f t="shared" si="44"/>
        <v>6.0968184874608458</v>
      </c>
      <c r="BL6" s="7">
        <f t="shared" si="45"/>
        <v>-3.5758271250571023</v>
      </c>
      <c r="BM6" s="7">
        <f t="shared" si="46"/>
        <v>3.5758271250571023</v>
      </c>
      <c r="BO6" s="7">
        <f t="shared" si="47"/>
        <v>1382827.8103472879</v>
      </c>
      <c r="BP6" s="7">
        <f t="shared" si="48"/>
        <v>1.382827810347288</v>
      </c>
      <c r="BQ6" s="7">
        <f t="shared" si="49"/>
        <v>76.50782378992848</v>
      </c>
      <c r="BR6" s="7">
        <f t="shared" si="50"/>
        <v>76.50782378992848</v>
      </c>
      <c r="BT6" s="7">
        <f t="shared" si="51"/>
        <v>1432994.9602794303</v>
      </c>
      <c r="BU6" s="7">
        <f t="shared" si="52"/>
        <v>1.4329949602794303</v>
      </c>
      <c r="BV6" s="7">
        <f t="shared" si="53"/>
        <v>75.655558947303575</v>
      </c>
      <c r="BW6" s="7">
        <f t="shared" si="54"/>
        <v>75.655558947303575</v>
      </c>
      <c r="BY6" s="7">
        <f t="shared" si="55"/>
        <v>0.2582980060573753</v>
      </c>
      <c r="BZ6" s="7">
        <f t="shared" si="56"/>
        <v>1692.5481505910952</v>
      </c>
      <c r="CA6" s="7">
        <f t="shared" si="57"/>
        <v>0.30939331321112895</v>
      </c>
      <c r="CB6" s="7">
        <f t="shared" si="58"/>
        <v>0.91084966313211246</v>
      </c>
      <c r="CC6" s="7">
        <f t="shared" si="59"/>
        <v>2.716997314114975</v>
      </c>
      <c r="CD6" s="7">
        <f t="shared" si="60"/>
        <v>8956218.5017464384</v>
      </c>
      <c r="CE6" s="7">
        <f t="shared" si="61"/>
        <v>6857589.9793188414</v>
      </c>
      <c r="CF6" s="7">
        <f t="shared" si="62"/>
        <v>6.8575899793188411</v>
      </c>
      <c r="CG6" s="7">
        <f t="shared" si="63"/>
        <v>-16.500196890110168</v>
      </c>
      <c r="CH6" s="7">
        <f t="shared" si="64"/>
        <v>16.500196890110168</v>
      </c>
      <c r="CJ6" s="7">
        <f t="shared" si="65"/>
        <v>1.5438134602341049</v>
      </c>
      <c r="CK6" s="7">
        <f t="shared" si="66"/>
        <v>7.9441638524897912E-2</v>
      </c>
      <c r="CL6" s="7">
        <f t="shared" si="67"/>
        <v>0.30064649999999998</v>
      </c>
      <c r="CM6" s="7">
        <f t="shared" si="68"/>
        <v>367.22859571439801</v>
      </c>
      <c r="CN6" s="7">
        <f t="shared" si="69"/>
        <v>111.40599200144875</v>
      </c>
      <c r="CO6" s="7">
        <f t="shared" si="70"/>
        <v>0.4890839385852519</v>
      </c>
      <c r="CP6" s="7">
        <f t="shared" si="71"/>
        <v>1.1870237531556542</v>
      </c>
      <c r="CQ6" s="7">
        <f t="shared" si="72"/>
        <v>2.1870237531556542</v>
      </c>
      <c r="CR6" s="7">
        <f t="shared" si="73"/>
        <v>19.355760654240623</v>
      </c>
      <c r="CS6" s="7">
        <f t="shared" si="74"/>
        <v>22.709429240982018</v>
      </c>
      <c r="CT6" s="7">
        <f t="shared" si="75"/>
        <v>-285.79923643950798</v>
      </c>
      <c r="CU6" s="7">
        <f t="shared" si="76"/>
        <v>285.79923643950798</v>
      </c>
      <c r="CW6" s="7">
        <f t="shared" si="77"/>
        <v>4.7297400421463331</v>
      </c>
      <c r="CX6" s="7">
        <f t="shared" si="78"/>
        <v>5.5492366708837784</v>
      </c>
      <c r="CY6" s="7">
        <f t="shared" si="79"/>
        <v>5.7267689235636245</v>
      </c>
      <c r="CZ6" s="7">
        <f t="shared" si="80"/>
        <v>5.7267689235636245</v>
      </c>
      <c r="DB6" s="7">
        <f t="shared" si="81"/>
        <v>5.035880760729226</v>
      </c>
      <c r="DC6" s="7">
        <f t="shared" si="82"/>
        <v>5.9084207458799956</v>
      </c>
      <c r="DD6" s="7">
        <f t="shared" si="83"/>
        <v>-0.37523128103417663</v>
      </c>
      <c r="DE6" s="7">
        <f t="shared" si="84"/>
        <v>0.37523128103417663</v>
      </c>
      <c r="DG6" s="7">
        <f t="shared" si="85"/>
        <v>8956218.5017464384</v>
      </c>
      <c r="DH6" s="7">
        <f t="shared" si="86"/>
        <v>0.17230060940112779</v>
      </c>
      <c r="DI6" s="7">
        <f t="shared" si="87"/>
        <v>1543161.9057805671</v>
      </c>
      <c r="DJ6" s="7">
        <f t="shared" si="88"/>
        <v>1.543161905780567</v>
      </c>
      <c r="DK6" s="7">
        <f t="shared" si="89"/>
        <v>73.783987319316097</v>
      </c>
      <c r="DL6" s="7">
        <f t="shared" si="90"/>
        <v>73.783987319316097</v>
      </c>
    </row>
    <row r="7" spans="1:116" x14ac:dyDescent="0.3">
      <c r="A7" s="7">
        <v>6</v>
      </c>
      <c r="B7" s="8" t="s">
        <v>42</v>
      </c>
      <c r="C7" s="9">
        <v>90</v>
      </c>
      <c r="D7" s="7">
        <v>81.33</v>
      </c>
      <c r="E7" s="10">
        <v>50</v>
      </c>
      <c r="F7" s="9">
        <v>10</v>
      </c>
      <c r="G7" s="21">
        <f t="shared" si="25"/>
        <v>1.5915494309189535</v>
      </c>
      <c r="H7" s="7">
        <v>0.2</v>
      </c>
      <c r="I7" s="7">
        <v>350.71305324163984</v>
      </c>
      <c r="J7" s="7">
        <v>8.8755224267339994</v>
      </c>
      <c r="K7" s="7">
        <f t="shared" si="0"/>
        <v>2.5307077523056439E-2</v>
      </c>
      <c r="L7" s="7">
        <f t="shared" si="26"/>
        <v>3.9999999999999998E-6</v>
      </c>
      <c r="M7" s="7">
        <f t="shared" si="1"/>
        <v>2.0245662018445149E-6</v>
      </c>
      <c r="N7" s="7">
        <f t="shared" si="2"/>
        <v>3112.7615693945295</v>
      </c>
      <c r="O7" s="7">
        <f t="shared" si="3"/>
        <v>1.5400000000000002E-5</v>
      </c>
      <c r="P7" s="7">
        <f t="shared" si="4"/>
        <v>9.9999999999999995E-8</v>
      </c>
      <c r="Q7" s="7">
        <v>0.02</v>
      </c>
      <c r="R7" s="7">
        <f t="shared" si="5"/>
        <v>1.2987012987012987E-4</v>
      </c>
      <c r="S7" s="7">
        <f t="shared" si="6"/>
        <v>15.973979962866661</v>
      </c>
      <c r="T7" s="9">
        <f t="shared" si="7"/>
        <v>3096.787589431663</v>
      </c>
      <c r="U7" s="11">
        <f t="shared" si="27"/>
        <v>6.193575178863326</v>
      </c>
      <c r="V7" s="7">
        <v>21.146608957910001</v>
      </c>
      <c r="W7" s="7">
        <v>21.83005863819</v>
      </c>
      <c r="X7" s="7">
        <f t="shared" si="8"/>
        <v>21.48833379805</v>
      </c>
      <c r="Y7" s="7">
        <v>99.4</v>
      </c>
      <c r="Z7" s="9">
        <f t="shared" si="9"/>
        <v>77.911666201949998</v>
      </c>
      <c r="AA7" s="9">
        <f t="shared" si="10"/>
        <v>7.2002333240390001E-2</v>
      </c>
      <c r="AB7" s="9">
        <f t="shared" si="11"/>
        <v>997.92525181340761</v>
      </c>
      <c r="AC7" s="12">
        <v>0.99839999999999995</v>
      </c>
      <c r="AD7" s="12">
        <f t="shared" si="12"/>
        <v>2258180.3232856165</v>
      </c>
      <c r="AE7" s="12">
        <f t="shared" si="13"/>
        <v>0.59000762111999994</v>
      </c>
      <c r="AF7" s="12">
        <v>9.81</v>
      </c>
      <c r="AG7" s="7">
        <f t="shared" si="14"/>
        <v>6193575.1788633261</v>
      </c>
      <c r="AH7" s="7">
        <f t="shared" si="15"/>
        <v>6.193575178863326</v>
      </c>
      <c r="AI7" s="7">
        <f t="shared" si="16"/>
        <v>2.6457513110645908E-2</v>
      </c>
      <c r="AJ7" s="7">
        <f t="shared" si="17"/>
        <v>1.4143549766589715E-2</v>
      </c>
      <c r="AK7" s="7">
        <f t="shared" si="18"/>
        <v>3.0000666659259424E-2</v>
      </c>
      <c r="AL7" s="7">
        <f t="shared" si="28"/>
        <v>8.0516477325223246</v>
      </c>
      <c r="AM7" s="7">
        <f t="shared" si="29"/>
        <v>4.3355026252043283</v>
      </c>
      <c r="AN7" s="7">
        <f t="shared" si="30"/>
        <v>6.1935751788633269</v>
      </c>
      <c r="AO7" s="9">
        <f t="shared" si="19"/>
        <v>4183.4155675378624</v>
      </c>
      <c r="AP7" s="9">
        <f t="shared" si="20"/>
        <v>0.60155684946154575</v>
      </c>
      <c r="AQ7" s="9">
        <f t="shared" si="21"/>
        <v>5</v>
      </c>
      <c r="AR7" s="9">
        <f t="shared" si="22"/>
        <v>9.1501393815618501E-4</v>
      </c>
      <c r="AS7" s="12">
        <f t="shared" si="23"/>
        <v>1.2798654923651744E-5</v>
      </c>
      <c r="AT7" s="9">
        <f t="shared" si="24"/>
        <v>0.15715129289336613</v>
      </c>
      <c r="AU7" s="9">
        <f t="shared" si="31"/>
        <v>0.14433607180130689</v>
      </c>
      <c r="AV7" s="9">
        <f t="shared" si="32"/>
        <v>3.6862246756852115</v>
      </c>
      <c r="AY7" s="7">
        <f t="shared" si="33"/>
        <v>1170638.7914140811</v>
      </c>
      <c r="AZ7" s="7">
        <f t="shared" si="34"/>
        <v>1.1706387914140812</v>
      </c>
      <c r="BA7" s="7">
        <f t="shared" si="35"/>
        <v>81.099142940751022</v>
      </c>
      <c r="BB7" s="7">
        <f t="shared" si="36"/>
        <v>81.099142940751022</v>
      </c>
      <c r="BD7" s="7">
        <f t="shared" si="37"/>
        <v>31276608.930910561</v>
      </c>
      <c r="BE7" s="7">
        <f t="shared" si="38"/>
        <v>0.43304756182248977</v>
      </c>
      <c r="BF7" s="7">
        <f t="shared" si="39"/>
        <v>6.9594325045406746E-2</v>
      </c>
      <c r="BG7" s="7">
        <f t="shared" si="40"/>
        <v>1.3095050452256458</v>
      </c>
      <c r="BH7" s="7">
        <f t="shared" si="41"/>
        <v>0.98973665961010282</v>
      </c>
      <c r="BI7" s="7">
        <f t="shared" si="42"/>
        <v>4486599.866014529</v>
      </c>
      <c r="BJ7" s="7">
        <f t="shared" si="43"/>
        <v>5708275.5155941099</v>
      </c>
      <c r="BK7" s="7">
        <f t="shared" si="44"/>
        <v>5.7082755155941101</v>
      </c>
      <c r="BL7" s="7">
        <f t="shared" si="45"/>
        <v>7.8355335852770001</v>
      </c>
      <c r="BM7" s="7">
        <f t="shared" si="46"/>
        <v>7.8355335852770001</v>
      </c>
      <c r="BO7" s="7">
        <f t="shared" si="47"/>
        <v>1382253.2298739643</v>
      </c>
      <c r="BP7" s="7">
        <f t="shared" si="48"/>
        <v>1.3822532298739643</v>
      </c>
      <c r="BQ7" s="7">
        <f t="shared" si="49"/>
        <v>77.682466266153526</v>
      </c>
      <c r="BR7" s="7">
        <f t="shared" si="50"/>
        <v>77.682466266153526</v>
      </c>
      <c r="BT7" s="7">
        <f t="shared" si="51"/>
        <v>1429787.8368416259</v>
      </c>
      <c r="BU7" s="7">
        <f t="shared" si="52"/>
        <v>1.4297878368416259</v>
      </c>
      <c r="BV7" s="7">
        <f t="shared" si="53"/>
        <v>76.914983744428739</v>
      </c>
      <c r="BW7" s="7">
        <f t="shared" si="54"/>
        <v>76.914983744428739</v>
      </c>
      <c r="BY7" s="7">
        <f t="shared" si="55"/>
        <v>0.25826224700687334</v>
      </c>
      <c r="BZ7" s="7">
        <f t="shared" si="56"/>
        <v>1691.3768841139131</v>
      </c>
      <c r="CA7" s="7">
        <f t="shared" si="57"/>
        <v>0.30936654205422703</v>
      </c>
      <c r="CB7" s="7">
        <f t="shared" si="58"/>
        <v>0.91086338603716122</v>
      </c>
      <c r="CC7" s="7">
        <f t="shared" si="59"/>
        <v>2.7167622622789342</v>
      </c>
      <c r="CD7" s="7">
        <f t="shared" si="60"/>
        <v>8936173.9802601617</v>
      </c>
      <c r="CE7" s="7">
        <f t="shared" si="61"/>
        <v>6841161.4472226137</v>
      </c>
      <c r="CF7" s="7">
        <f t="shared" si="62"/>
        <v>6.8411614472226141</v>
      </c>
      <c r="CG7" s="7">
        <f t="shared" si="63"/>
        <v>-10.45577472877525</v>
      </c>
      <c r="CH7" s="7">
        <f t="shared" si="64"/>
        <v>10.45577472877525</v>
      </c>
      <c r="CJ7" s="7">
        <f t="shared" si="65"/>
        <v>1.5438134602341049</v>
      </c>
      <c r="CK7" s="7">
        <f t="shared" si="66"/>
        <v>7.9441638524897912E-2</v>
      </c>
      <c r="CL7" s="7">
        <f t="shared" si="67"/>
        <v>0.30064649999999998</v>
      </c>
      <c r="CM7" s="7">
        <f t="shared" si="68"/>
        <v>368.62246756852119</v>
      </c>
      <c r="CN7" s="7">
        <f t="shared" si="69"/>
        <v>111.8250546958394</v>
      </c>
      <c r="CO7" s="7">
        <f t="shared" si="70"/>
        <v>0.48859912227919472</v>
      </c>
      <c r="CP7" s="7">
        <f t="shared" si="71"/>
        <v>1.1420271516474709</v>
      </c>
      <c r="CQ7" s="7">
        <f t="shared" si="72"/>
        <v>2.1420271516474712</v>
      </c>
      <c r="CR7" s="7">
        <f t="shared" si="73"/>
        <v>19.028838661179034</v>
      </c>
      <c r="CS7" s="7">
        <f t="shared" si="74"/>
        <v>22.275896692336168</v>
      </c>
      <c r="CT7" s="7">
        <f t="shared" si="75"/>
        <v>-259.66135953845554</v>
      </c>
      <c r="CU7" s="7">
        <f t="shared" si="76"/>
        <v>259.66135953845554</v>
      </c>
      <c r="CW7" s="7">
        <f t="shared" si="77"/>
        <v>4.5882322965703208</v>
      </c>
      <c r="CX7" s="7">
        <f t="shared" si="78"/>
        <v>5.3711627103841346</v>
      </c>
      <c r="CY7" s="7">
        <f t="shared" si="79"/>
        <v>13.278477207894721</v>
      </c>
      <c r="CZ7" s="7">
        <f t="shared" si="80"/>
        <v>13.278477207894721</v>
      </c>
      <c r="DB7" s="7">
        <f t="shared" si="81"/>
        <v>4.8828923156014001</v>
      </c>
      <c r="DC7" s="7">
        <f t="shared" si="82"/>
        <v>5.7161031589407276</v>
      </c>
      <c r="DD7" s="7">
        <f t="shared" si="83"/>
        <v>7.7091503071127043</v>
      </c>
      <c r="DE7" s="7">
        <f t="shared" si="84"/>
        <v>7.7091503071127043</v>
      </c>
      <c r="DG7" s="7">
        <f t="shared" si="85"/>
        <v>8936173.9802601617</v>
      </c>
      <c r="DH7" s="7">
        <f t="shared" si="86"/>
        <v>0.125</v>
      </c>
      <c r="DI7" s="7">
        <f t="shared" si="87"/>
        <v>1117021.7475325202</v>
      </c>
      <c r="DJ7" s="7">
        <f t="shared" si="88"/>
        <v>1.1170217475325201</v>
      </c>
      <c r="DK7" s="7">
        <f t="shared" si="89"/>
        <v>81.964831050334965</v>
      </c>
      <c r="DL7" s="7">
        <f t="shared" si="90"/>
        <v>81.964831050334965</v>
      </c>
    </row>
    <row r="8" spans="1:116" x14ac:dyDescent="0.3">
      <c r="A8" s="7">
        <v>7</v>
      </c>
      <c r="B8" s="8" t="s">
        <v>42</v>
      </c>
      <c r="C8" s="9">
        <v>90</v>
      </c>
      <c r="D8" s="7">
        <v>80.819999999999993</v>
      </c>
      <c r="E8" s="10">
        <v>50</v>
      </c>
      <c r="F8" s="9">
        <v>10</v>
      </c>
      <c r="G8" s="21">
        <f t="shared" si="25"/>
        <v>1.5915494309189535</v>
      </c>
      <c r="H8" s="7">
        <v>0.2</v>
      </c>
      <c r="I8" s="7">
        <v>320.28155367630086</v>
      </c>
      <c r="J8" s="7">
        <v>9.2541221488550001</v>
      </c>
      <c r="K8" s="7">
        <f t="shared" si="0"/>
        <v>2.8893709433568782E-2</v>
      </c>
      <c r="L8" s="7">
        <f t="shared" si="26"/>
        <v>3.9999999999999998E-6</v>
      </c>
      <c r="M8" s="7">
        <f t="shared" si="1"/>
        <v>2.3114967546855022E-6</v>
      </c>
      <c r="N8" s="7">
        <f t="shared" si="2"/>
        <v>2963.9246197455473</v>
      </c>
      <c r="O8" s="7">
        <f t="shared" si="3"/>
        <v>1.5400000000000002E-5</v>
      </c>
      <c r="P8" s="7">
        <f t="shared" si="4"/>
        <v>9.9999999999999995E-8</v>
      </c>
      <c r="Q8" s="7">
        <v>0.02</v>
      </c>
      <c r="R8" s="7">
        <f t="shared" si="5"/>
        <v>1.2987012987012987E-4</v>
      </c>
      <c r="S8" s="7">
        <f t="shared" si="6"/>
        <v>13.322113457831842</v>
      </c>
      <c r="T8" s="9">
        <f t="shared" si="7"/>
        <v>2950.6025062877156</v>
      </c>
      <c r="U8" s="11">
        <f t="shared" si="27"/>
        <v>5.9012050125754314</v>
      </c>
      <c r="V8" s="7">
        <v>20.972535562849998</v>
      </c>
      <c r="W8" s="7">
        <v>22.278521382249998</v>
      </c>
      <c r="X8" s="7">
        <f t="shared" si="8"/>
        <v>21.625528472549998</v>
      </c>
      <c r="Y8" s="7">
        <v>99.4</v>
      </c>
      <c r="Z8" s="9">
        <f t="shared" si="9"/>
        <v>77.774471527450004</v>
      </c>
      <c r="AA8" s="9">
        <f t="shared" si="10"/>
        <v>7.1974894305490006E-2</v>
      </c>
      <c r="AB8" s="9">
        <f t="shared" si="11"/>
        <v>997.89225078870129</v>
      </c>
      <c r="AC8" s="12">
        <v>0.99839999999999995</v>
      </c>
      <c r="AD8" s="12">
        <f t="shared" si="12"/>
        <v>2258180.3232856165</v>
      </c>
      <c r="AE8" s="12">
        <f t="shared" si="13"/>
        <v>0.59000762111999994</v>
      </c>
      <c r="AF8" s="12">
        <v>9.81</v>
      </c>
      <c r="AG8" s="7">
        <f t="shared" si="14"/>
        <v>5901205.0125754317</v>
      </c>
      <c r="AH8" s="7">
        <f t="shared" si="15"/>
        <v>5.9012050125754314</v>
      </c>
      <c r="AI8" s="7">
        <f t="shared" si="16"/>
        <v>2.6457513110645908E-2</v>
      </c>
      <c r="AJ8" s="7">
        <f t="shared" si="17"/>
        <v>1.4143549766589715E-2</v>
      </c>
      <c r="AK8" s="7">
        <f t="shared" si="18"/>
        <v>3.0000666659259424E-2</v>
      </c>
      <c r="AL8" s="7">
        <f t="shared" si="28"/>
        <v>7.6715665163480606</v>
      </c>
      <c r="AM8" s="7">
        <f t="shared" si="29"/>
        <v>4.1308435088028022</v>
      </c>
      <c r="AN8" s="7">
        <f t="shared" si="30"/>
        <v>5.9012050125754314</v>
      </c>
      <c r="AO8" s="9">
        <f t="shared" si="19"/>
        <v>4183.340655073298</v>
      </c>
      <c r="AP8" s="9">
        <f t="shared" si="20"/>
        <v>0.60179952782243928</v>
      </c>
      <c r="AQ8" s="9">
        <f t="shared" si="21"/>
        <v>5</v>
      </c>
      <c r="AR8" s="9">
        <f t="shared" si="22"/>
        <v>9.1282297317441885E-4</v>
      </c>
      <c r="AS8" s="12">
        <f t="shared" si="23"/>
        <v>1.2798654923651744E-5</v>
      </c>
      <c r="AT8" s="9">
        <f t="shared" si="24"/>
        <v>0.15759486042976559</v>
      </c>
      <c r="AU8" s="9">
        <f t="shared" si="31"/>
        <v>0.14407933029645428</v>
      </c>
      <c r="AV8" s="9">
        <f t="shared" si="32"/>
        <v>3.6868662578226594</v>
      </c>
      <c r="AY8" s="7">
        <f t="shared" si="33"/>
        <v>1170517.5644808549</v>
      </c>
      <c r="AZ8" s="7">
        <f t="shared" si="34"/>
        <v>1.170517564480855</v>
      </c>
      <c r="BA8" s="7">
        <f t="shared" si="35"/>
        <v>80.164770381871335</v>
      </c>
      <c r="BB8" s="7">
        <f t="shared" si="36"/>
        <v>80.164770381871335</v>
      </c>
      <c r="BD8" s="7">
        <f t="shared" si="37"/>
        <v>31273370.043381616</v>
      </c>
      <c r="BE8" s="7">
        <f t="shared" si="38"/>
        <v>0.43304756182248977</v>
      </c>
      <c r="BF8" s="7">
        <f t="shared" si="39"/>
        <v>6.9579792476338526E-2</v>
      </c>
      <c r="BG8" s="7">
        <f t="shared" si="40"/>
        <v>1.3089175140115832</v>
      </c>
      <c r="BH8" s="7">
        <f t="shared" si="41"/>
        <v>0.98973665961010282</v>
      </c>
      <c r="BI8" s="7">
        <f t="shared" si="42"/>
        <v>4474636.1228143051</v>
      </c>
      <c r="BJ8" s="7">
        <f t="shared" si="43"/>
        <v>5695382.22456792</v>
      </c>
      <c r="BK8" s="7">
        <f t="shared" si="44"/>
        <v>5.6953822245679202</v>
      </c>
      <c r="BL8" s="7">
        <f t="shared" si="45"/>
        <v>3.4878094824515351</v>
      </c>
      <c r="BM8" s="7">
        <f t="shared" si="46"/>
        <v>3.4878094824515351</v>
      </c>
      <c r="BO8" s="7">
        <f t="shared" si="47"/>
        <v>1382225.7871007521</v>
      </c>
      <c r="BP8" s="7">
        <f t="shared" si="48"/>
        <v>1.3822257871007522</v>
      </c>
      <c r="BQ8" s="7">
        <f t="shared" si="49"/>
        <v>76.577228139757253</v>
      </c>
      <c r="BR8" s="7">
        <f t="shared" si="50"/>
        <v>76.577228139757253</v>
      </c>
      <c r="BT8" s="7">
        <f t="shared" si="51"/>
        <v>1429639.7734117312</v>
      </c>
      <c r="BU8" s="7">
        <f t="shared" si="52"/>
        <v>1.4296397734117312</v>
      </c>
      <c r="BV8" s="7">
        <f t="shared" si="53"/>
        <v>75.773765351903933</v>
      </c>
      <c r="BW8" s="7">
        <f t="shared" si="54"/>
        <v>75.773765351903933</v>
      </c>
      <c r="BY8" s="7">
        <f t="shared" si="55"/>
        <v>0.25826053885658434</v>
      </c>
      <c r="BZ8" s="7">
        <f t="shared" si="56"/>
        <v>1691.3209508962307</v>
      </c>
      <c r="CA8" s="7">
        <f t="shared" si="57"/>
        <v>0.30936526320586244</v>
      </c>
      <c r="CB8" s="7">
        <f t="shared" si="58"/>
        <v>0.91086404154609879</v>
      </c>
      <c r="CC8" s="7">
        <f t="shared" si="59"/>
        <v>2.7167510339394481</v>
      </c>
      <c r="CD8" s="7">
        <f t="shared" si="60"/>
        <v>8935248.5838233195</v>
      </c>
      <c r="CE8" s="7">
        <f t="shared" si="61"/>
        <v>6840401.3769129338</v>
      </c>
      <c r="CF8" s="7">
        <f t="shared" si="62"/>
        <v>6.8404013769129337</v>
      </c>
      <c r="CG8" s="7">
        <f t="shared" si="63"/>
        <v>-15.915331908247225</v>
      </c>
      <c r="CH8" s="7">
        <f t="shared" si="64"/>
        <v>15.915331908247225</v>
      </c>
      <c r="CJ8" s="7">
        <f t="shared" si="65"/>
        <v>1.5438134602341049</v>
      </c>
      <c r="CK8" s="7">
        <f t="shared" si="66"/>
        <v>7.9441638524897912E-2</v>
      </c>
      <c r="CL8" s="7">
        <f t="shared" si="67"/>
        <v>0.30064649999999998</v>
      </c>
      <c r="CM8" s="7">
        <f t="shared" si="68"/>
        <v>368.68662578226593</v>
      </c>
      <c r="CN8" s="7">
        <f t="shared" si="69"/>
        <v>111.84434363824801</v>
      </c>
      <c r="CO8" s="7">
        <f t="shared" si="70"/>
        <v>0.48857825475042072</v>
      </c>
      <c r="CP8" s="7">
        <f t="shared" si="71"/>
        <v>1.1399674668905342</v>
      </c>
      <c r="CQ8" s="7">
        <f t="shared" si="72"/>
        <v>2.1399674668905342</v>
      </c>
      <c r="CR8" s="7">
        <f t="shared" si="73"/>
        <v>19.013820485436117</v>
      </c>
      <c r="CS8" s="7">
        <f t="shared" si="74"/>
        <v>22.25601084608887</v>
      </c>
      <c r="CT8" s="7">
        <f t="shared" si="75"/>
        <v>-277.14349524650385</v>
      </c>
      <c r="CU8" s="7">
        <f t="shared" si="76"/>
        <v>277.14349524650385</v>
      </c>
      <c r="CW8" s="7">
        <f t="shared" si="77"/>
        <v>4.5817548752798825</v>
      </c>
      <c r="CX8" s="7">
        <f t="shared" si="78"/>
        <v>5.363024557660891</v>
      </c>
      <c r="CY8" s="7">
        <f t="shared" si="79"/>
        <v>9.1198399948431064</v>
      </c>
      <c r="CZ8" s="7">
        <f t="shared" si="80"/>
        <v>9.1198399948431064</v>
      </c>
      <c r="DB8" s="7">
        <f t="shared" si="81"/>
        <v>4.8758893874278133</v>
      </c>
      <c r="DC8" s="7">
        <f t="shared" si="82"/>
        <v>5.7073141704500516</v>
      </c>
      <c r="DD8" s="7">
        <f t="shared" si="83"/>
        <v>3.2856144077726426</v>
      </c>
      <c r="DE8" s="7">
        <f t="shared" si="84"/>
        <v>3.2856144077726426</v>
      </c>
      <c r="DG8" s="7">
        <f t="shared" si="85"/>
        <v>8935248.5838233195</v>
      </c>
      <c r="DH8" s="7">
        <f t="shared" si="86"/>
        <v>0.125</v>
      </c>
      <c r="DI8" s="7">
        <f t="shared" si="87"/>
        <v>1116906.0729779149</v>
      </c>
      <c r="DJ8" s="7">
        <f t="shared" si="88"/>
        <v>1.116906072977915</v>
      </c>
      <c r="DK8" s="7">
        <f t="shared" si="89"/>
        <v>81.073254181174946</v>
      </c>
      <c r="DL8" s="7">
        <f t="shared" si="90"/>
        <v>81.073254181174946</v>
      </c>
    </row>
    <row r="9" spans="1:116" x14ac:dyDescent="0.3">
      <c r="A9" s="7">
        <v>8</v>
      </c>
      <c r="B9" s="8" t="s">
        <v>44</v>
      </c>
      <c r="C9" s="9">
        <v>0</v>
      </c>
      <c r="D9" s="7">
        <v>79.8</v>
      </c>
      <c r="E9" s="10">
        <v>50</v>
      </c>
      <c r="F9" s="9">
        <v>20</v>
      </c>
      <c r="G9" s="21">
        <f t="shared" si="25"/>
        <v>3.183098861837907</v>
      </c>
      <c r="H9" s="7">
        <v>0.2</v>
      </c>
      <c r="I9" s="7">
        <v>544.236503911868</v>
      </c>
      <c r="J9" s="7">
        <v>8.0512947387009994</v>
      </c>
      <c r="K9" s="7">
        <f t="shared" si="0"/>
        <v>1.4793742574836181E-2</v>
      </c>
      <c r="L9" s="7">
        <f t="shared" si="26"/>
        <v>7.9999999999999996E-6</v>
      </c>
      <c r="M9" s="7">
        <f t="shared" si="1"/>
        <v>2.3669988119737889E-6</v>
      </c>
      <c r="N9" s="7">
        <f t="shared" si="2"/>
        <v>4381.8085005546491</v>
      </c>
      <c r="O9" s="7">
        <f t="shared" si="3"/>
        <v>1.5400000000000002E-5</v>
      </c>
      <c r="P9" s="7">
        <f t="shared" si="4"/>
        <v>9.9999999999999995E-8</v>
      </c>
      <c r="Q9" s="7">
        <v>0.02</v>
      </c>
      <c r="R9" s="7">
        <f t="shared" si="5"/>
        <v>1.2987012987012987E-4</v>
      </c>
      <c r="S9" s="7">
        <f t="shared" si="6"/>
        <v>38.466671713014641</v>
      </c>
      <c r="T9" s="9">
        <f t="shared" si="7"/>
        <v>4343.3418288416342</v>
      </c>
      <c r="U9" s="11">
        <f t="shared" si="27"/>
        <v>4.3433418288416341</v>
      </c>
      <c r="V9" s="7">
        <v>20.26057336345</v>
      </c>
      <c r="W9" s="7">
        <v>21.000439264139999</v>
      </c>
      <c r="X9" s="7">
        <f t="shared" si="8"/>
        <v>20.630506313794999</v>
      </c>
      <c r="Y9" s="7">
        <v>99.4</v>
      </c>
      <c r="Z9" s="9">
        <f t="shared" si="9"/>
        <v>78.76949368620501</v>
      </c>
      <c r="AA9" s="9">
        <f t="shared" si="10"/>
        <v>7.2173898737241005E-2</v>
      </c>
      <c r="AB9" s="9">
        <f t="shared" si="11"/>
        <v>998.12903432561541</v>
      </c>
      <c r="AC9" s="12">
        <v>0.99839999999999995</v>
      </c>
      <c r="AD9" s="12">
        <f t="shared" si="12"/>
        <v>2258180.3232856165</v>
      </c>
      <c r="AE9" s="12">
        <f t="shared" si="13"/>
        <v>0.59000762111999994</v>
      </c>
      <c r="AF9" s="12">
        <v>9.81</v>
      </c>
      <c r="AG9" s="7">
        <f t="shared" si="14"/>
        <v>4343341.8288416341</v>
      </c>
      <c r="AH9" s="7">
        <f t="shared" si="15"/>
        <v>4.3433418288416341</v>
      </c>
      <c r="AI9" s="7">
        <f t="shared" si="16"/>
        <v>2.6457513110645908E-2</v>
      </c>
      <c r="AJ9" s="7">
        <f t="shared" si="17"/>
        <v>1.4143549766589715E-2</v>
      </c>
      <c r="AK9" s="7">
        <f t="shared" si="18"/>
        <v>3.0000666659259424E-2</v>
      </c>
      <c r="AL9" s="7">
        <f t="shared" si="28"/>
        <v>5.6463443774941249</v>
      </c>
      <c r="AM9" s="7">
        <f t="shared" si="29"/>
        <v>3.0403392801891438</v>
      </c>
      <c r="AN9" s="7">
        <f t="shared" si="30"/>
        <v>4.3433418288416341</v>
      </c>
      <c r="AO9" s="9">
        <f t="shared" si="19"/>
        <v>4183.9147039297286</v>
      </c>
      <c r="AP9" s="9">
        <f t="shared" si="20"/>
        <v>0.60003093598271362</v>
      </c>
      <c r="AQ9" s="9">
        <f t="shared" si="21"/>
        <v>2.5</v>
      </c>
      <c r="AR9" s="9">
        <f t="shared" si="22"/>
        <v>9.2879005083988729E-4</v>
      </c>
      <c r="AS9" s="12">
        <f t="shared" si="23"/>
        <v>1.2798654923651744E-5</v>
      </c>
      <c r="AT9" s="9">
        <f t="shared" si="24"/>
        <v>0.15440923284976407</v>
      </c>
      <c r="AU9" s="9">
        <f t="shared" si="31"/>
        <v>0.14594265987372587</v>
      </c>
      <c r="AV9" s="9">
        <f t="shared" si="32"/>
        <v>7.3644338270251</v>
      </c>
      <c r="AY9" s="7">
        <f t="shared" si="33"/>
        <v>1171395.3412255091</v>
      </c>
      <c r="AZ9" s="7">
        <f t="shared" si="34"/>
        <v>1.1713953412255091</v>
      </c>
      <c r="BA9" s="7">
        <f t="shared" si="35"/>
        <v>73.030090944098689</v>
      </c>
      <c r="BB9" s="7">
        <f t="shared" si="36"/>
        <v>73.030090944098689</v>
      </c>
      <c r="BD9" s="7">
        <f t="shared" si="37"/>
        <v>31296822.093811311</v>
      </c>
      <c r="BE9" s="7">
        <f t="shared" si="38"/>
        <v>0.62097082391581759</v>
      </c>
      <c r="BF9" s="7">
        <f t="shared" si="39"/>
        <v>3.0332258784185422E-2</v>
      </c>
      <c r="BG9" s="7">
        <f t="shared" si="40"/>
        <v>1.3131845797184698</v>
      </c>
      <c r="BH9" s="7">
        <f t="shared" si="41"/>
        <v>1.0683281572999748</v>
      </c>
      <c r="BI9" s="7">
        <f t="shared" si="42"/>
        <v>4562194.0662452551</v>
      </c>
      <c r="BJ9" s="7">
        <f t="shared" si="43"/>
        <v>5389196.2160784472</v>
      </c>
      <c r="BK9" s="7">
        <f t="shared" si="44"/>
        <v>5.3891962160784468</v>
      </c>
      <c r="BL9" s="7">
        <f t="shared" si="45"/>
        <v>-24.079485991452373</v>
      </c>
      <c r="BM9" s="7">
        <f t="shared" si="46"/>
        <v>24.079485991452373</v>
      </c>
      <c r="BO9" s="7">
        <f t="shared" si="47"/>
        <v>1382422.6819378529</v>
      </c>
      <c r="BP9" s="7">
        <f t="shared" si="48"/>
        <v>1.3824226819378529</v>
      </c>
      <c r="BQ9" s="7">
        <f t="shared" si="49"/>
        <v>68.171451006734515</v>
      </c>
      <c r="BR9" s="7">
        <f t="shared" si="50"/>
        <v>68.171451006734515</v>
      </c>
      <c r="BT9" s="7">
        <f t="shared" si="51"/>
        <v>1430711.8671456599</v>
      </c>
      <c r="BU9" s="7">
        <f t="shared" si="52"/>
        <v>1.4307118671456598</v>
      </c>
      <c r="BV9" s="7">
        <f t="shared" si="53"/>
        <v>67.0596530614946</v>
      </c>
      <c r="BW9" s="7">
        <f t="shared" si="54"/>
        <v>67.0596530614946</v>
      </c>
      <c r="BY9" s="7">
        <f t="shared" si="55"/>
        <v>0.25827279389523805</v>
      </c>
      <c r="BZ9" s="7">
        <f t="shared" si="56"/>
        <v>1691.7222737409502</v>
      </c>
      <c r="CA9" s="7">
        <f t="shared" si="57"/>
        <v>0.30937443816911864</v>
      </c>
      <c r="CB9" s="7">
        <f t="shared" si="58"/>
        <v>0.91085933860708657</v>
      </c>
      <c r="CC9" s="7">
        <f t="shared" si="59"/>
        <v>2.7168315904829754</v>
      </c>
      <c r="CD9" s="7">
        <f t="shared" si="60"/>
        <v>8941949.1696603745</v>
      </c>
      <c r="CE9" s="7">
        <f t="shared" si="61"/>
        <v>6845901.688897538</v>
      </c>
      <c r="CF9" s="7">
        <f t="shared" si="62"/>
        <v>6.8459016888975377</v>
      </c>
      <c r="CG9" s="7">
        <f t="shared" si="63"/>
        <v>-57.61830311024206</v>
      </c>
      <c r="CH9" s="7">
        <f t="shared" si="64"/>
        <v>57.61830311024206</v>
      </c>
      <c r="CJ9" s="7">
        <f t="shared" si="65"/>
        <v>1.5438134602341049</v>
      </c>
      <c r="CK9" s="7">
        <f t="shared" si="66"/>
        <v>7.9441638524897912E-2</v>
      </c>
      <c r="CL9" s="7">
        <f t="shared" si="67"/>
        <v>0.30064649999999998</v>
      </c>
      <c r="CM9" s="7">
        <f t="shared" si="68"/>
        <v>368.22169135125495</v>
      </c>
      <c r="CN9" s="7">
        <f t="shared" si="69"/>
        <v>111.70456272883506</v>
      </c>
      <c r="CO9" s="7">
        <f t="shared" si="70"/>
        <v>0.48873225680975463</v>
      </c>
      <c r="CP9" s="7">
        <f t="shared" si="71"/>
        <v>1.1549157725106207</v>
      </c>
      <c r="CQ9" s="7">
        <f t="shared" si="72"/>
        <v>2.1549157725106207</v>
      </c>
      <c r="CR9" s="7">
        <f t="shared" si="73"/>
        <v>19.122708545131353</v>
      </c>
      <c r="CS9" s="7">
        <f t="shared" si="74"/>
        <v>22.4002517013801</v>
      </c>
      <c r="CT9" s="7">
        <f t="shared" si="75"/>
        <v>-415.7377103646993</v>
      </c>
      <c r="CU9" s="7">
        <f t="shared" si="76"/>
        <v>415.7377103646993</v>
      </c>
      <c r="CW9" s="7">
        <f t="shared" si="77"/>
        <v>4.628765198151755</v>
      </c>
      <c r="CX9" s="7">
        <f t="shared" si="78"/>
        <v>5.4221139887417369</v>
      </c>
      <c r="CY9" s="7">
        <f t="shared" si="79"/>
        <v>-24.837376435273818</v>
      </c>
      <c r="CZ9" s="7">
        <f t="shared" si="80"/>
        <v>24.837376435273818</v>
      </c>
      <c r="DB9" s="7">
        <f t="shared" si="81"/>
        <v>4.9267136265361087</v>
      </c>
      <c r="DC9" s="7">
        <f t="shared" si="82"/>
        <v>5.7711293896766307</v>
      </c>
      <c r="DD9" s="7">
        <f t="shared" si="83"/>
        <v>-32.87301845214855</v>
      </c>
      <c r="DE9" s="7">
        <f t="shared" si="84"/>
        <v>32.87301845214855</v>
      </c>
      <c r="DG9" s="7">
        <f t="shared" si="85"/>
        <v>8941949.1696603745</v>
      </c>
      <c r="DH9" s="7">
        <f t="shared" si="86"/>
        <v>0.17230060940112779</v>
      </c>
      <c r="DI9" s="7">
        <f t="shared" si="87"/>
        <v>1540703.2911663912</v>
      </c>
      <c r="DJ9" s="7">
        <f t="shared" si="88"/>
        <v>1.5407032911663912</v>
      </c>
      <c r="DK9" s="7">
        <f t="shared" si="89"/>
        <v>64.527238428818407</v>
      </c>
      <c r="DL9" s="7">
        <f t="shared" si="90"/>
        <v>64.527238428818407</v>
      </c>
    </row>
    <row r="10" spans="1:116" x14ac:dyDescent="0.3">
      <c r="A10" s="7">
        <v>9</v>
      </c>
      <c r="B10" s="8" t="s">
        <v>41</v>
      </c>
      <c r="C10" s="9">
        <v>180</v>
      </c>
      <c r="D10" s="7">
        <v>79.31</v>
      </c>
      <c r="E10" s="10">
        <v>50</v>
      </c>
      <c r="F10" s="9">
        <v>20</v>
      </c>
      <c r="G10" s="21">
        <f t="shared" si="25"/>
        <v>3.183098861837907</v>
      </c>
      <c r="H10" s="7">
        <v>0.2</v>
      </c>
      <c r="I10" s="7">
        <v>404.81023792809367</v>
      </c>
      <c r="J10" s="7">
        <v>6.9184193317249996</v>
      </c>
      <c r="K10" s="7">
        <f t="shared" si="0"/>
        <v>1.7090524605145773E-2</v>
      </c>
      <c r="L10" s="7">
        <f t="shared" si="26"/>
        <v>7.9999999999999996E-6</v>
      </c>
      <c r="M10" s="7">
        <f t="shared" si="1"/>
        <v>2.7344839368233236E-6</v>
      </c>
      <c r="N10" s="7">
        <f t="shared" si="2"/>
        <v>2800.6469757619197</v>
      </c>
      <c r="O10" s="7">
        <f t="shared" si="3"/>
        <v>1.5400000000000002E-5</v>
      </c>
      <c r="P10" s="7">
        <f t="shared" si="4"/>
        <v>9.9999999999999995E-8</v>
      </c>
      <c r="Q10" s="7">
        <v>0.02</v>
      </c>
      <c r="R10" s="7">
        <f t="shared" si="5"/>
        <v>1.2987012987012987E-4</v>
      </c>
      <c r="S10" s="7">
        <f t="shared" si="6"/>
        <v>21.281990744337637</v>
      </c>
      <c r="T10" s="9">
        <f t="shared" si="7"/>
        <v>2779.3649850175821</v>
      </c>
      <c r="U10" s="11">
        <f t="shared" si="27"/>
        <v>2.7793649850175819</v>
      </c>
      <c r="V10" s="7">
        <v>17.832934033730002</v>
      </c>
      <c r="W10" s="7">
        <v>18.986541867109999</v>
      </c>
      <c r="X10" s="7">
        <f>0.5*(V10+W10)</f>
        <v>18.409737950420002</v>
      </c>
      <c r="Y10" s="7">
        <v>99.4</v>
      </c>
      <c r="Z10" s="9">
        <f t="shared" si="9"/>
        <v>80.990262049579997</v>
      </c>
      <c r="AA10" s="9">
        <f t="shared" si="10"/>
        <v>7.2618052409916006E-2</v>
      </c>
      <c r="AB10" s="9">
        <f t="shared" si="11"/>
        <v>998.63608178570394</v>
      </c>
      <c r="AC10" s="12">
        <v>0.99839999999999995</v>
      </c>
      <c r="AD10" s="12">
        <f t="shared" si="12"/>
        <v>2258180.3232856165</v>
      </c>
      <c r="AE10" s="12">
        <f t="shared" si="13"/>
        <v>0.59000762111999994</v>
      </c>
      <c r="AF10" s="12">
        <v>9.81</v>
      </c>
      <c r="AG10" s="7">
        <f t="shared" si="14"/>
        <v>2779364.9850175818</v>
      </c>
      <c r="AH10" s="7">
        <f t="shared" si="15"/>
        <v>2.7793649850175819</v>
      </c>
      <c r="AI10" s="7">
        <f t="shared" si="16"/>
        <v>2.6457513110645908E-2</v>
      </c>
      <c r="AJ10" s="7">
        <f t="shared" si="17"/>
        <v>1.4143549766589715E-2</v>
      </c>
      <c r="AK10" s="7">
        <f t="shared" si="18"/>
        <v>3.0000666659259424E-2</v>
      </c>
      <c r="AL10" s="7">
        <f t="shared" si="28"/>
        <v>3.6131744805228565</v>
      </c>
      <c r="AM10" s="7">
        <f t="shared" si="29"/>
        <v>1.9455554895123073</v>
      </c>
      <c r="AN10" s="7">
        <f t="shared" si="30"/>
        <v>2.7793649850175819</v>
      </c>
      <c r="AO10" s="9">
        <f t="shared" si="19"/>
        <v>4185.4624689578723</v>
      </c>
      <c r="AP10" s="9">
        <f t="shared" si="20"/>
        <v>0.59601223897689259</v>
      </c>
      <c r="AQ10" s="9">
        <f t="shared" si="21"/>
        <v>2.5</v>
      </c>
      <c r="AR10" s="9">
        <f t="shared" si="22"/>
        <v>9.6506936231044492E-4</v>
      </c>
      <c r="AS10" s="12">
        <f t="shared" si="23"/>
        <v>1.2798654923651744E-5</v>
      </c>
      <c r="AT10" s="9">
        <f t="shared" si="24"/>
        <v>0.1475547509928857</v>
      </c>
      <c r="AU10" s="9">
        <f t="shared" si="31"/>
        <v>0.15011276941177451</v>
      </c>
      <c r="AV10" s="9">
        <f t="shared" si="32"/>
        <v>7.3437434422275514</v>
      </c>
      <c r="AY10" s="7">
        <f t="shared" si="33"/>
        <v>1173342.4253020941</v>
      </c>
      <c r="AZ10" s="7">
        <f t="shared" si="34"/>
        <v>1.1733424253020941</v>
      </c>
      <c r="BA10" s="7">
        <f t="shared" si="35"/>
        <v>57.783794801074976</v>
      </c>
      <c r="BB10" s="7">
        <f t="shared" si="36"/>
        <v>57.783794801074976</v>
      </c>
      <c r="BD10" s="7">
        <f t="shared" si="37"/>
        <v>31348843.424101751</v>
      </c>
      <c r="BE10" s="7">
        <f t="shared" si="38"/>
        <v>0.62097082391581759</v>
      </c>
      <c r="BF10" s="7">
        <f t="shared" si="39"/>
        <v>3.0434837987084525E-2</v>
      </c>
      <c r="BG10" s="7">
        <f t="shared" si="40"/>
        <v>1.3227593823640216</v>
      </c>
      <c r="BH10" s="7">
        <f t="shared" si="41"/>
        <v>0.8</v>
      </c>
      <c r="BI10" s="7">
        <f t="shared" si="42"/>
        <v>4764405.6737265</v>
      </c>
      <c r="BJ10" s="7">
        <f t="shared" si="43"/>
        <v>5391358.0461344887</v>
      </c>
      <c r="BK10" s="7">
        <f t="shared" si="44"/>
        <v>5.3913580461344885</v>
      </c>
      <c r="BL10" s="7">
        <f t="shared" si="45"/>
        <v>-93.978051648383399</v>
      </c>
      <c r="BM10" s="7">
        <f t="shared" si="46"/>
        <v>93.978051648383399</v>
      </c>
      <c r="BO10" s="7">
        <f t="shared" si="47"/>
        <v>1382844.2490038234</v>
      </c>
      <c r="BP10" s="7">
        <f t="shared" si="48"/>
        <v>1.3828442490038233</v>
      </c>
      <c r="BQ10" s="7">
        <f t="shared" si="49"/>
        <v>50.246036182431233</v>
      </c>
      <c r="BR10" s="7">
        <f t="shared" si="50"/>
        <v>50.246036182431233</v>
      </c>
      <c r="BT10" s="7">
        <f t="shared" si="51"/>
        <v>1433089.9851017944</v>
      </c>
      <c r="BU10" s="7">
        <f t="shared" si="52"/>
        <v>1.4330899851017944</v>
      </c>
      <c r="BV10" s="7">
        <f t="shared" si="53"/>
        <v>48.438222657801496</v>
      </c>
      <c r="BW10" s="7">
        <f t="shared" si="54"/>
        <v>48.438222657801496</v>
      </c>
      <c r="BY10" s="7">
        <f t="shared" si="55"/>
        <v>0.2582990289725669</v>
      </c>
      <c r="BZ10" s="7">
        <f t="shared" si="56"/>
        <v>1692.581665114787</v>
      </c>
      <c r="CA10" s="7">
        <f t="shared" si="57"/>
        <v>0.30939407900025107</v>
      </c>
      <c r="CB10" s="7">
        <f t="shared" si="58"/>
        <v>0.91084927057114851</v>
      </c>
      <c r="CC10" s="7">
        <f t="shared" si="59"/>
        <v>2.7170040377747107</v>
      </c>
      <c r="CD10" s="7">
        <f t="shared" si="60"/>
        <v>8956812.4068862144</v>
      </c>
      <c r="CE10" s="7">
        <f t="shared" si="61"/>
        <v>6858075.7103696438</v>
      </c>
      <c r="CF10" s="7">
        <f t="shared" si="62"/>
        <v>6.8580757103696435</v>
      </c>
      <c r="CG10" s="7">
        <f t="shared" si="63"/>
        <v>-146.74973410612571</v>
      </c>
      <c r="CH10" s="7">
        <f t="shared" si="64"/>
        <v>146.74973410612571</v>
      </c>
      <c r="CJ10" s="7">
        <f t="shared" si="65"/>
        <v>1.5438134602341049</v>
      </c>
      <c r="CK10" s="7">
        <f t="shared" si="66"/>
        <v>7.9441638524897912E-2</v>
      </c>
      <c r="CL10" s="7">
        <f t="shared" si="67"/>
        <v>0.30064649999999998</v>
      </c>
      <c r="CM10" s="7">
        <f t="shared" si="68"/>
        <v>367.18717211137755</v>
      </c>
      <c r="CN10" s="7">
        <f t="shared" si="69"/>
        <v>111.39353814018327</v>
      </c>
      <c r="CO10" s="7">
        <f t="shared" si="70"/>
        <v>0.48909931791909178</v>
      </c>
      <c r="CP10" s="7">
        <f t="shared" si="71"/>
        <v>1.1883684577961424</v>
      </c>
      <c r="CQ10" s="7">
        <f t="shared" si="72"/>
        <v>2.1883684577961424</v>
      </c>
      <c r="CR10" s="7">
        <f t="shared" si="73"/>
        <v>19.365496585899699</v>
      </c>
      <c r="CS10" s="7">
        <f t="shared" si="74"/>
        <v>22.722358731278977</v>
      </c>
      <c r="CT10" s="7">
        <f t="shared" si="75"/>
        <v>-717.53777764942367</v>
      </c>
      <c r="CU10" s="7">
        <f t="shared" si="76"/>
        <v>717.53777764942367</v>
      </c>
      <c r="CW10" s="7">
        <f t="shared" si="77"/>
        <v>4.7339689271550043</v>
      </c>
      <c r="CX10" s="7">
        <f t="shared" si="78"/>
        <v>5.5545665822928054</v>
      </c>
      <c r="CY10" s="7">
        <f t="shared" si="79"/>
        <v>-99.850203634110613</v>
      </c>
      <c r="CZ10" s="7">
        <f t="shared" si="80"/>
        <v>99.850203634110613</v>
      </c>
      <c r="DB10" s="7">
        <f t="shared" si="81"/>
        <v>5.0404527565068813</v>
      </c>
      <c r="DC10" s="7">
        <f t="shared" si="82"/>
        <v>5.9141770619404097</v>
      </c>
      <c r="DD10" s="7">
        <f t="shared" si="83"/>
        <v>-112.78878786418177</v>
      </c>
      <c r="DE10" s="7">
        <f t="shared" si="84"/>
        <v>112.78878786418177</v>
      </c>
      <c r="DG10" s="7">
        <f t="shared" si="85"/>
        <v>8956812.4068862144</v>
      </c>
      <c r="DH10" s="7">
        <f t="shared" si="86"/>
        <v>3.952847075210475E-2</v>
      </c>
      <c r="DI10" s="7">
        <f t="shared" si="87"/>
        <v>354049.09725769068</v>
      </c>
      <c r="DJ10" s="7">
        <f t="shared" si="88"/>
        <v>0.35404909725769068</v>
      </c>
      <c r="DK10" s="7">
        <f t="shared" si="89"/>
        <v>87.261511202514811</v>
      </c>
      <c r="DL10" s="7">
        <f t="shared" si="90"/>
        <v>87.261511202514811</v>
      </c>
    </row>
    <row r="11" spans="1:116" x14ac:dyDescent="0.3">
      <c r="A11" s="7">
        <v>10</v>
      </c>
      <c r="B11" s="8" t="s">
        <v>42</v>
      </c>
      <c r="C11" s="9">
        <v>90</v>
      </c>
      <c r="D11" s="7">
        <v>79.48</v>
      </c>
      <c r="E11" s="10">
        <v>50</v>
      </c>
      <c r="F11" s="9">
        <v>20</v>
      </c>
      <c r="G11" s="21">
        <f t="shared" si="25"/>
        <v>3.183098861837907</v>
      </c>
      <c r="H11" s="7">
        <v>0.2</v>
      </c>
      <c r="I11" s="7">
        <v>604.63012326870796</v>
      </c>
      <c r="J11" s="7">
        <v>8.3565131735910008</v>
      </c>
      <c r="K11" s="7">
        <f t="shared" si="0"/>
        <v>1.3820868084465622E-2</v>
      </c>
      <c r="L11" s="7">
        <f t="shared" si="26"/>
        <v>7.9999999999999996E-6</v>
      </c>
      <c r="M11" s="7">
        <f t="shared" si="1"/>
        <v>2.2113388935144995E-6</v>
      </c>
      <c r="N11" s="7">
        <f t="shared" si="2"/>
        <v>5052.5995902449085</v>
      </c>
      <c r="O11" s="7">
        <f t="shared" si="3"/>
        <v>1.5400000000000002E-5</v>
      </c>
      <c r="P11" s="7">
        <f t="shared" si="4"/>
        <v>9.9999999999999995E-8</v>
      </c>
      <c r="Q11" s="7">
        <v>0.02</v>
      </c>
      <c r="R11" s="7">
        <f t="shared" si="5"/>
        <v>1.2987012987012987E-4</v>
      </c>
      <c r="S11" s="7">
        <f t="shared" si="6"/>
        <v>47.477608566744543</v>
      </c>
      <c r="T11" s="9">
        <f t="shared" si="7"/>
        <v>5005.121981678164</v>
      </c>
      <c r="U11" s="11">
        <f t="shared" si="27"/>
        <v>5.0051219816781645</v>
      </c>
      <c r="V11" s="7">
        <v>20.083966682370001</v>
      </c>
      <c r="W11" s="7">
        <v>20.301673063719999</v>
      </c>
      <c r="X11" s="7">
        <f t="shared" si="8"/>
        <v>20.192819873045</v>
      </c>
      <c r="Y11" s="7">
        <v>99.4</v>
      </c>
      <c r="Z11" s="9">
        <f t="shared" si="9"/>
        <v>79.207180126955009</v>
      </c>
      <c r="AA11" s="9">
        <f t="shared" si="10"/>
        <v>7.2261436025391007E-2</v>
      </c>
      <c r="AB11" s="9">
        <f t="shared" si="11"/>
        <v>998.23130850684174</v>
      </c>
      <c r="AC11" s="12">
        <v>0.99839999999999995</v>
      </c>
      <c r="AD11" s="12">
        <f t="shared" si="12"/>
        <v>2258180.3232856165</v>
      </c>
      <c r="AE11" s="12">
        <f t="shared" si="13"/>
        <v>0.59000762111999994</v>
      </c>
      <c r="AF11" s="12">
        <v>9.81</v>
      </c>
      <c r="AG11" s="7">
        <f t="shared" si="14"/>
        <v>5005121.9816781646</v>
      </c>
      <c r="AH11" s="7">
        <f t="shared" si="15"/>
        <v>5.0051219816781645</v>
      </c>
      <c r="AI11" s="7">
        <f t="shared" si="16"/>
        <v>2.6457513110645908E-2</v>
      </c>
      <c r="AJ11" s="7">
        <f t="shared" si="17"/>
        <v>1.4143549766589715E-2</v>
      </c>
      <c r="AK11" s="7">
        <f t="shared" si="18"/>
        <v>3.0000666659259424E-2</v>
      </c>
      <c r="AL11" s="7">
        <f t="shared" si="28"/>
        <v>6.5066585761816143</v>
      </c>
      <c r="AM11" s="7">
        <f t="shared" si="29"/>
        <v>3.5035853871747147</v>
      </c>
      <c r="AN11" s="7">
        <f t="shared" si="30"/>
        <v>5.0051219816781645</v>
      </c>
      <c r="AO11" s="9">
        <f t="shared" si="19"/>
        <v>4184.1901336870724</v>
      </c>
      <c r="AP11" s="9">
        <f t="shared" si="20"/>
        <v>0.59924670397644653</v>
      </c>
      <c r="AQ11" s="9">
        <f t="shared" si="21"/>
        <v>2.5</v>
      </c>
      <c r="AR11" s="9">
        <f t="shared" si="22"/>
        <v>9.3587002321832841E-4</v>
      </c>
      <c r="AS11" s="12">
        <f t="shared" si="23"/>
        <v>1.2798654923651744E-5</v>
      </c>
      <c r="AT11" s="9">
        <f t="shared" si="24"/>
        <v>0.1530307498345439</v>
      </c>
      <c r="AU11" s="9">
        <f t="shared" si="31"/>
        <v>0.14676325809188351</v>
      </c>
      <c r="AV11" s="9">
        <f t="shared" si="32"/>
        <v>7.3603491351111519</v>
      </c>
      <c r="AY11" s="7">
        <f t="shared" si="33"/>
        <v>1171780.3989800694</v>
      </c>
      <c r="AZ11" s="7">
        <f t="shared" si="34"/>
        <v>1.1717803989800695</v>
      </c>
      <c r="BA11" s="7">
        <f t="shared" si="35"/>
        <v>76.588374803461164</v>
      </c>
      <c r="BB11" s="7">
        <f t="shared" si="36"/>
        <v>76.588374803461164</v>
      </c>
      <c r="BD11" s="7">
        <f t="shared" si="37"/>
        <v>31307109.896414068</v>
      </c>
      <c r="BE11" s="7">
        <f t="shared" si="38"/>
        <v>0.62097082391581759</v>
      </c>
      <c r="BF11" s="7">
        <f t="shared" si="39"/>
        <v>3.0352459696624159E-2</v>
      </c>
      <c r="BG11" s="7">
        <f t="shared" si="40"/>
        <v>1.3150659701095115</v>
      </c>
      <c r="BH11" s="7">
        <f t="shared" si="41"/>
        <v>0.98973665961010282</v>
      </c>
      <c r="BI11" s="7">
        <f t="shared" si="42"/>
        <v>4601295.453417236</v>
      </c>
      <c r="BJ11" s="7">
        <f t="shared" si="43"/>
        <v>5369320.2832457768</v>
      </c>
      <c r="BK11" s="7">
        <f t="shared" si="44"/>
        <v>5.3693202832457771</v>
      </c>
      <c r="BL11" s="7">
        <f t="shared" si="45"/>
        <v>-7.2765119991241614</v>
      </c>
      <c r="BM11" s="7">
        <f t="shared" si="46"/>
        <v>7.2765119991241614</v>
      </c>
      <c r="BO11" s="7">
        <f t="shared" si="47"/>
        <v>1382507.7211664496</v>
      </c>
      <c r="BP11" s="7">
        <f t="shared" si="48"/>
        <v>1.3825077211664496</v>
      </c>
      <c r="BQ11" s="7">
        <f t="shared" si="49"/>
        <v>72.378141307498979</v>
      </c>
      <c r="BR11" s="7">
        <f t="shared" si="50"/>
        <v>72.378141307498979</v>
      </c>
      <c r="BT11" s="7">
        <f t="shared" si="51"/>
        <v>1431182.1666932146</v>
      </c>
      <c r="BU11" s="7">
        <f t="shared" si="52"/>
        <v>1.4311821666932145</v>
      </c>
      <c r="BV11" s="7">
        <f t="shared" si="53"/>
        <v>71.405648614914398</v>
      </c>
      <c r="BW11" s="7">
        <f t="shared" si="54"/>
        <v>71.405648614914398</v>
      </c>
      <c r="BY11" s="7">
        <f t="shared" si="55"/>
        <v>0.2582780865087273</v>
      </c>
      <c r="BZ11" s="7">
        <f t="shared" si="56"/>
        <v>1691.8956175717167</v>
      </c>
      <c r="CA11" s="7">
        <f t="shared" si="57"/>
        <v>0.30937840053244164</v>
      </c>
      <c r="CB11" s="7">
        <f t="shared" si="58"/>
        <v>0.91085730752080607</v>
      </c>
      <c r="CC11" s="7">
        <f t="shared" si="59"/>
        <v>2.7168663801920485</v>
      </c>
      <c r="CD11" s="7">
        <f t="shared" si="60"/>
        <v>8944888.5418325905</v>
      </c>
      <c r="CE11" s="7">
        <f t="shared" si="61"/>
        <v>6848312.1857380606</v>
      </c>
      <c r="CF11" s="7">
        <f t="shared" si="62"/>
        <v>6.8483121857380604</v>
      </c>
      <c r="CG11" s="7">
        <f t="shared" si="63"/>
        <v>-36.826079580220217</v>
      </c>
      <c r="CH11" s="7">
        <f t="shared" si="64"/>
        <v>36.826079580220217</v>
      </c>
      <c r="CJ11" s="7">
        <f t="shared" si="65"/>
        <v>1.5438134602341049</v>
      </c>
      <c r="CK11" s="7">
        <f t="shared" si="66"/>
        <v>7.9441638524897912E-2</v>
      </c>
      <c r="CL11" s="7">
        <f t="shared" si="67"/>
        <v>0.30064649999999998</v>
      </c>
      <c r="CM11" s="7">
        <f t="shared" si="68"/>
        <v>368.01745675555753</v>
      </c>
      <c r="CN11" s="7">
        <f t="shared" si="69"/>
        <v>111.64316031245973</v>
      </c>
      <c r="CO11" s="7">
        <f t="shared" si="70"/>
        <v>0.48880199114525658</v>
      </c>
      <c r="CP11" s="7">
        <f t="shared" si="71"/>
        <v>1.1614988207716981</v>
      </c>
      <c r="CQ11" s="7">
        <f t="shared" si="72"/>
        <v>2.1614988207716981</v>
      </c>
      <c r="CR11" s="7">
        <f t="shared" si="73"/>
        <v>19.170582878956324</v>
      </c>
      <c r="CS11" s="7">
        <f t="shared" si="74"/>
        <v>22.463713254583929</v>
      </c>
      <c r="CT11" s="7">
        <f t="shared" si="75"/>
        <v>-348.81450116131003</v>
      </c>
      <c r="CU11" s="7">
        <f t="shared" si="76"/>
        <v>348.81450116131003</v>
      </c>
      <c r="CW11" s="7">
        <f t="shared" si="77"/>
        <v>4.649467945175374</v>
      </c>
      <c r="CX11" s="7">
        <f t="shared" si="78"/>
        <v>5.4481554038426436</v>
      </c>
      <c r="CY11" s="7">
        <f t="shared" si="79"/>
        <v>-8.8516008957674739</v>
      </c>
      <c r="CZ11" s="7">
        <f t="shared" si="80"/>
        <v>8.8516008957674739</v>
      </c>
      <c r="DB11" s="7">
        <f t="shared" si="81"/>
        <v>4.949095990623773</v>
      </c>
      <c r="DC11" s="7">
        <f t="shared" si="82"/>
        <v>5.7992536744837873</v>
      </c>
      <c r="DD11" s="7">
        <f t="shared" si="83"/>
        <v>-15.866380394176902</v>
      </c>
      <c r="DE11" s="7">
        <f t="shared" si="84"/>
        <v>15.866380394176902</v>
      </c>
      <c r="DG11" s="7">
        <f t="shared" si="85"/>
        <v>8944888.5418325905</v>
      </c>
      <c r="DH11" s="7">
        <f t="shared" si="86"/>
        <v>0.125</v>
      </c>
      <c r="DI11" s="7">
        <f t="shared" si="87"/>
        <v>1118111.0677290738</v>
      </c>
      <c r="DJ11" s="7">
        <f t="shared" si="88"/>
        <v>1.1181110677290738</v>
      </c>
      <c r="DK11" s="7">
        <f t="shared" si="89"/>
        <v>77.660662980401881</v>
      </c>
      <c r="DL11" s="7">
        <f t="shared" si="90"/>
        <v>77.660662980401881</v>
      </c>
    </row>
    <row r="12" spans="1:116" x14ac:dyDescent="0.3">
      <c r="A12" s="7">
        <v>11</v>
      </c>
      <c r="B12" s="8" t="s">
        <v>42</v>
      </c>
      <c r="C12" s="9">
        <v>90</v>
      </c>
      <c r="D12" s="7">
        <v>80.150000000000006</v>
      </c>
      <c r="E12" s="10">
        <v>50</v>
      </c>
      <c r="F12" s="9">
        <v>20</v>
      </c>
      <c r="G12" s="21">
        <f t="shared" si="25"/>
        <v>3.183098861837907</v>
      </c>
      <c r="H12" s="7">
        <v>0.2</v>
      </c>
      <c r="I12" s="7">
        <v>543.91613511373055</v>
      </c>
      <c r="J12" s="7">
        <v>9.1877906942949998</v>
      </c>
      <c r="K12" s="7">
        <f t="shared" si="0"/>
        <v>1.6891925245743761E-2</v>
      </c>
      <c r="L12" s="7">
        <f t="shared" si="26"/>
        <v>7.9999999999999996E-6</v>
      </c>
      <c r="M12" s="7">
        <f t="shared" si="1"/>
        <v>2.7027080393190011E-6</v>
      </c>
      <c r="N12" s="7">
        <f t="shared" si="2"/>
        <v>4997.3876046748355</v>
      </c>
      <c r="O12" s="7">
        <f t="shared" si="3"/>
        <v>1.5400000000000002E-5</v>
      </c>
      <c r="P12" s="7">
        <f t="shared" si="4"/>
        <v>9.9999999999999995E-8</v>
      </c>
      <c r="Q12" s="7">
        <v>0.02</v>
      </c>
      <c r="R12" s="7">
        <f t="shared" si="5"/>
        <v>1.2987012987012987E-4</v>
      </c>
      <c r="S12" s="7">
        <f t="shared" si="6"/>
        <v>38.421397667150394</v>
      </c>
      <c r="T12" s="9">
        <f t="shared" si="7"/>
        <v>4958.9662070076847</v>
      </c>
      <c r="U12" s="11">
        <f t="shared" si="27"/>
        <v>4.958966207007685</v>
      </c>
      <c r="V12" s="7">
        <v>20.300334264659998</v>
      </c>
      <c r="W12" s="7">
        <v>21.19203604626</v>
      </c>
      <c r="X12" s="7">
        <f t="shared" si="8"/>
        <v>20.746185155459997</v>
      </c>
      <c r="Y12" s="7">
        <v>99.4</v>
      </c>
      <c r="Z12" s="9">
        <f t="shared" si="9"/>
        <v>78.653814844540008</v>
      </c>
      <c r="AA12" s="9">
        <f t="shared" si="10"/>
        <v>7.2150762968908003E-2</v>
      </c>
      <c r="AB12" s="9">
        <f t="shared" si="11"/>
        <v>998.10181161519904</v>
      </c>
      <c r="AC12" s="12">
        <v>0.99839999999999995</v>
      </c>
      <c r="AD12" s="12">
        <f t="shared" si="12"/>
        <v>2258180.3232856165</v>
      </c>
      <c r="AE12" s="12">
        <f t="shared" si="13"/>
        <v>0.59000762111999994</v>
      </c>
      <c r="AF12" s="12">
        <v>9.81</v>
      </c>
      <c r="AG12" s="7">
        <f t="shared" si="14"/>
        <v>4958966.2070076847</v>
      </c>
      <c r="AH12" s="7">
        <f t="shared" si="15"/>
        <v>4.958966207007685</v>
      </c>
      <c r="AI12" s="7">
        <f t="shared" si="16"/>
        <v>2.6457513110645908E-2</v>
      </c>
      <c r="AJ12" s="7">
        <f t="shared" si="17"/>
        <v>1.4143549766589715E-2</v>
      </c>
      <c r="AK12" s="7">
        <f t="shared" si="18"/>
        <v>3.0000666659259424E-2</v>
      </c>
      <c r="AL12" s="7">
        <f t="shared" si="28"/>
        <v>6.4466560691099906</v>
      </c>
      <c r="AM12" s="7">
        <f t="shared" si="29"/>
        <v>3.4712763449053794</v>
      </c>
      <c r="AN12" s="7">
        <f t="shared" si="30"/>
        <v>4.958966207007685</v>
      </c>
      <c r="AO12" s="9">
        <f t="shared" si="19"/>
        <v>4183.8442722359778</v>
      </c>
      <c r="AP12" s="9">
        <f t="shared" si="20"/>
        <v>0.60023756535696571</v>
      </c>
      <c r="AQ12" s="9">
        <f t="shared" si="21"/>
        <v>2.5</v>
      </c>
      <c r="AR12" s="9">
        <f t="shared" si="22"/>
        <v>9.2692460252953557E-4</v>
      </c>
      <c r="AS12" s="12">
        <f t="shared" si="23"/>
        <v>1.2798654923651744E-5</v>
      </c>
      <c r="AT12" s="9">
        <f t="shared" si="24"/>
        <v>0.15477586908119526</v>
      </c>
      <c r="AU12" s="9">
        <f t="shared" si="31"/>
        <v>0.14572587907773391</v>
      </c>
      <c r="AV12" s="9">
        <f t="shared" si="32"/>
        <v>7.3655139631813089</v>
      </c>
      <c r="AY12" s="7">
        <f t="shared" si="33"/>
        <v>1171293.4642719983</v>
      </c>
      <c r="AZ12" s="7">
        <f t="shared" si="34"/>
        <v>1.1712934642719983</v>
      </c>
      <c r="BA12" s="7">
        <f t="shared" si="35"/>
        <v>76.380289451926416</v>
      </c>
      <c r="BB12" s="7">
        <f t="shared" si="36"/>
        <v>76.380289451926416</v>
      </c>
      <c r="BD12" s="7">
        <f t="shared" si="37"/>
        <v>31294100.190473236</v>
      </c>
      <c r="BE12" s="7">
        <f t="shared" si="38"/>
        <v>0.62097082391581759</v>
      </c>
      <c r="BF12" s="7">
        <f t="shared" si="39"/>
        <v>3.0326921072938814E-2</v>
      </c>
      <c r="BG12" s="7">
        <f t="shared" si="40"/>
        <v>1.3126877899884459</v>
      </c>
      <c r="BH12" s="7">
        <f t="shared" si="41"/>
        <v>0.98973665961010282</v>
      </c>
      <c r="BI12" s="7">
        <f t="shared" si="42"/>
        <v>4551920.093001564</v>
      </c>
      <c r="BJ12" s="7">
        <f t="shared" si="43"/>
        <v>5317592.6605862677</v>
      </c>
      <c r="BK12" s="7">
        <f t="shared" si="44"/>
        <v>5.3175926605862678</v>
      </c>
      <c r="BL12" s="7">
        <f t="shared" si="45"/>
        <v>-7.2318793596898381</v>
      </c>
      <c r="BM12" s="7">
        <f t="shared" si="46"/>
        <v>7.2318793596898381</v>
      </c>
      <c r="BO12" s="7">
        <f t="shared" si="47"/>
        <v>1382400.0461330933</v>
      </c>
      <c r="BP12" s="7">
        <f t="shared" si="48"/>
        <v>1.3824000461330932</v>
      </c>
      <c r="BQ12" s="7">
        <f t="shared" si="49"/>
        <v>72.123221082257501</v>
      </c>
      <c r="BR12" s="7">
        <f t="shared" si="50"/>
        <v>72.123221082257501</v>
      </c>
      <c r="BT12" s="7">
        <f t="shared" si="51"/>
        <v>1430587.4372787767</v>
      </c>
      <c r="BU12" s="7">
        <f t="shared" si="52"/>
        <v>1.4305874372787766</v>
      </c>
      <c r="BV12" s="7">
        <f t="shared" si="53"/>
        <v>71.151498567238377</v>
      </c>
      <c r="BW12" s="7">
        <f t="shared" si="54"/>
        <v>71.151498567238377</v>
      </c>
      <c r="BY12" s="7">
        <f t="shared" si="55"/>
        <v>0.25827138506693242</v>
      </c>
      <c r="BZ12" s="7">
        <f t="shared" si="56"/>
        <v>1691.6761341497961</v>
      </c>
      <c r="CA12" s="7">
        <f t="shared" si="57"/>
        <v>0.30937338343183701</v>
      </c>
      <c r="CB12" s="7">
        <f t="shared" si="58"/>
        <v>0.91085987925547551</v>
      </c>
      <c r="CC12" s="7">
        <f t="shared" si="59"/>
        <v>2.7168223298473912</v>
      </c>
      <c r="CD12" s="7">
        <f t="shared" si="60"/>
        <v>8941171.4829923529</v>
      </c>
      <c r="CE12" s="7">
        <f t="shared" si="61"/>
        <v>6845263.6894391431</v>
      </c>
      <c r="CF12" s="7">
        <f t="shared" si="62"/>
        <v>6.8452636894391432</v>
      </c>
      <c r="CG12" s="7">
        <f t="shared" si="63"/>
        <v>-38.038119311357008</v>
      </c>
      <c r="CH12" s="7">
        <f t="shared" si="64"/>
        <v>38.038119311357008</v>
      </c>
      <c r="CJ12" s="7">
        <f t="shared" si="65"/>
        <v>1.5438134602341049</v>
      </c>
      <c r="CK12" s="7">
        <f t="shared" si="66"/>
        <v>7.9441638524897912E-2</v>
      </c>
      <c r="CL12" s="7">
        <f t="shared" si="67"/>
        <v>0.30064649999999998</v>
      </c>
      <c r="CM12" s="7">
        <f t="shared" si="68"/>
        <v>368.27569815906543</v>
      </c>
      <c r="CN12" s="7">
        <f t="shared" si="69"/>
        <v>111.72079968657945</v>
      </c>
      <c r="CO12" s="7">
        <f t="shared" si="70"/>
        <v>0.48871403249639761</v>
      </c>
      <c r="CP12" s="7">
        <f t="shared" si="71"/>
        <v>1.1531766907170049</v>
      </c>
      <c r="CQ12" s="7">
        <f t="shared" si="72"/>
        <v>2.1531766907170047</v>
      </c>
      <c r="CR12" s="7">
        <f t="shared" si="73"/>
        <v>19.110053306827666</v>
      </c>
      <c r="CS12" s="7">
        <f t="shared" si="74"/>
        <v>22.383480540176734</v>
      </c>
      <c r="CT12" s="7">
        <f t="shared" si="75"/>
        <v>-351.37392766552574</v>
      </c>
      <c r="CU12" s="7">
        <f t="shared" si="76"/>
        <v>351.37392766552574</v>
      </c>
      <c r="CW12" s="7">
        <f t="shared" si="77"/>
        <v>4.6232960321673833</v>
      </c>
      <c r="CX12" s="7">
        <f t="shared" si="78"/>
        <v>5.4152364258723189</v>
      </c>
      <c r="CY12" s="7">
        <f t="shared" si="79"/>
        <v>-9.2009140578506639</v>
      </c>
      <c r="CZ12" s="7">
        <f t="shared" si="80"/>
        <v>9.2009140578506639</v>
      </c>
      <c r="DB12" s="7">
        <f t="shared" si="81"/>
        <v>4.9208007484378129</v>
      </c>
      <c r="DC12" s="7">
        <f t="shared" si="82"/>
        <v>5.7637017556299677</v>
      </c>
      <c r="DD12" s="7">
        <f t="shared" si="83"/>
        <v>-16.227889342844954</v>
      </c>
      <c r="DE12" s="7">
        <f t="shared" si="84"/>
        <v>16.227889342844954</v>
      </c>
      <c r="DG12" s="7">
        <f t="shared" si="85"/>
        <v>8941171.4829923529</v>
      </c>
      <c r="DH12" s="7">
        <f t="shared" si="86"/>
        <v>0.125</v>
      </c>
      <c r="DI12" s="7">
        <f t="shared" si="87"/>
        <v>1117646.4353740441</v>
      </c>
      <c r="DJ12" s="7">
        <f t="shared" si="88"/>
        <v>1.1176464353740441</v>
      </c>
      <c r="DK12" s="7">
        <f t="shared" si="89"/>
        <v>77.462108255654982</v>
      </c>
      <c r="DL12" s="7">
        <f t="shared" si="90"/>
        <v>77.462108255654982</v>
      </c>
    </row>
    <row r="13" spans="1:116" x14ac:dyDescent="0.3">
      <c r="A13" s="7">
        <v>12</v>
      </c>
      <c r="B13" s="8" t="s">
        <v>44</v>
      </c>
      <c r="C13" s="9">
        <v>0</v>
      </c>
      <c r="D13" s="7">
        <v>130.74</v>
      </c>
      <c r="E13" s="10">
        <v>100</v>
      </c>
      <c r="F13" s="9">
        <v>20</v>
      </c>
      <c r="G13" s="21">
        <f t="shared" si="25"/>
        <v>3.183098861837907</v>
      </c>
      <c r="H13" s="7">
        <v>0.2</v>
      </c>
      <c r="I13" s="7">
        <v>572.17681396055605</v>
      </c>
      <c r="J13" s="7">
        <v>14.44724149324</v>
      </c>
      <c r="K13" s="7">
        <f t="shared" si="0"/>
        <v>2.5249610156758195E-2</v>
      </c>
      <c r="L13" s="7">
        <f t="shared" si="26"/>
        <v>7.9999999999999996E-6</v>
      </c>
      <c r="M13" s="7">
        <f t="shared" si="1"/>
        <v>2.0199688125406553E-6</v>
      </c>
      <c r="N13" s="7">
        <f t="shared" si="2"/>
        <v>8266.3766081208087</v>
      </c>
      <c r="O13" s="7">
        <f t="shared" si="3"/>
        <v>1.5400000000000002E-5</v>
      </c>
      <c r="P13" s="7">
        <f t="shared" si="4"/>
        <v>9.9999999999999995E-8</v>
      </c>
      <c r="Q13" s="7">
        <v>0.02</v>
      </c>
      <c r="R13" s="7">
        <f t="shared" si="5"/>
        <v>1.2987012987012987E-4</v>
      </c>
      <c r="S13" s="7">
        <f t="shared" si="6"/>
        <v>42.51770213429257</v>
      </c>
      <c r="T13" s="9">
        <f t="shared" si="7"/>
        <v>8223.8589059865153</v>
      </c>
      <c r="U13" s="11">
        <f t="shared" si="27"/>
        <v>4.111929452993258</v>
      </c>
      <c r="V13" s="7">
        <v>22.58346532382</v>
      </c>
      <c r="W13" s="7">
        <v>23.423035519599999</v>
      </c>
      <c r="X13" s="7">
        <f t="shared" si="8"/>
        <v>23.00325042171</v>
      </c>
      <c r="Y13" s="7">
        <v>99.4</v>
      </c>
      <c r="Z13" s="9">
        <f t="shared" si="9"/>
        <v>76.396749578290013</v>
      </c>
      <c r="AA13" s="9">
        <f t="shared" si="10"/>
        <v>7.1699349915658003E-2</v>
      </c>
      <c r="AB13" s="9">
        <f t="shared" si="11"/>
        <v>997.5545899632142</v>
      </c>
      <c r="AC13" s="12">
        <v>0.99839999999999995</v>
      </c>
      <c r="AD13" s="12">
        <f t="shared" si="12"/>
        <v>2258180.3232856165</v>
      </c>
      <c r="AE13" s="12">
        <f t="shared" si="13"/>
        <v>0.59000762111999994</v>
      </c>
      <c r="AF13" s="12">
        <v>9.81</v>
      </c>
      <c r="AG13" s="7">
        <f t="shared" si="14"/>
        <v>4111929.4529932579</v>
      </c>
      <c r="AH13" s="7">
        <f t="shared" si="15"/>
        <v>4.111929452993258</v>
      </c>
      <c r="AI13" s="7">
        <f t="shared" si="16"/>
        <v>2.6457513110645908E-2</v>
      </c>
      <c r="AJ13" s="7">
        <f t="shared" si="17"/>
        <v>1.4143549766589715E-2</v>
      </c>
      <c r="AK13" s="7">
        <f t="shared" si="18"/>
        <v>3.0000666659259424E-2</v>
      </c>
      <c r="AL13" s="7">
        <f t="shared" si="28"/>
        <v>5.345508288891236</v>
      </c>
      <c r="AM13" s="7">
        <f t="shared" si="29"/>
        <v>2.8783506170952804</v>
      </c>
      <c r="AN13" s="7">
        <f t="shared" si="30"/>
        <v>4.111929452993258</v>
      </c>
      <c r="AO13" s="9">
        <f t="shared" si="19"/>
        <v>4182.6615529805122</v>
      </c>
      <c r="AP13" s="9">
        <f t="shared" si="20"/>
        <v>0.60421565562812296</v>
      </c>
      <c r="AQ13" s="9">
        <f t="shared" si="21"/>
        <v>5</v>
      </c>
      <c r="AR13" s="9">
        <f t="shared" si="22"/>
        <v>8.9100893682580746E-4</v>
      </c>
      <c r="AS13" s="12">
        <f t="shared" si="23"/>
        <v>1.2798654923651744E-5</v>
      </c>
      <c r="AT13" s="9">
        <f t="shared" si="24"/>
        <v>0.16212768800597177</v>
      </c>
      <c r="AU13" s="9">
        <f t="shared" si="31"/>
        <v>0.14150408802113093</v>
      </c>
      <c r="AV13" s="9">
        <f t="shared" si="32"/>
        <v>7.3866369706428028</v>
      </c>
      <c r="AY13" s="7">
        <f t="shared" si="33"/>
        <v>1169296.6732959799</v>
      </c>
      <c r="AZ13" s="7">
        <f t="shared" si="34"/>
        <v>1.1692966732959797</v>
      </c>
      <c r="BA13" s="7">
        <f t="shared" si="35"/>
        <v>71.563308985157903</v>
      </c>
      <c r="BB13" s="7">
        <f t="shared" si="36"/>
        <v>71.563308985157903</v>
      </c>
      <c r="BD13" s="7">
        <f t="shared" si="37"/>
        <v>31240750.813251369</v>
      </c>
      <c r="BE13" s="7">
        <f t="shared" si="38"/>
        <v>0.43304756182248977</v>
      </c>
      <c r="BF13" s="7">
        <f t="shared" si="39"/>
        <v>3.0222882530400827E-2</v>
      </c>
      <c r="BG13" s="7">
        <f t="shared" si="40"/>
        <v>1.3030315829689538</v>
      </c>
      <c r="BH13" s="7">
        <f t="shared" si="41"/>
        <v>1.0683281572999748</v>
      </c>
      <c r="BI13" s="7">
        <f t="shared" si="42"/>
        <v>4356384.6968665589</v>
      </c>
      <c r="BJ13" s="7">
        <f t="shared" si="43"/>
        <v>4925568.536430154</v>
      </c>
      <c r="BK13" s="7">
        <f t="shared" si="44"/>
        <v>4.9255685364301538</v>
      </c>
      <c r="BL13" s="7">
        <f t="shared" si="45"/>
        <v>-19.787282168584177</v>
      </c>
      <c r="BM13" s="7">
        <f t="shared" si="46"/>
        <v>19.787282168584177</v>
      </c>
      <c r="BO13" s="7">
        <f t="shared" si="47"/>
        <v>1381944.9764763399</v>
      </c>
      <c r="BP13" s="7">
        <f t="shared" si="48"/>
        <v>1.3819449764763398</v>
      </c>
      <c r="BQ13" s="7">
        <f t="shared" si="49"/>
        <v>66.391812109753971</v>
      </c>
      <c r="BR13" s="7">
        <f t="shared" si="50"/>
        <v>66.391812109753971</v>
      </c>
      <c r="BT13" s="7">
        <f t="shared" si="51"/>
        <v>1428148.6086057769</v>
      </c>
      <c r="BU13" s="7">
        <f t="shared" si="52"/>
        <v>1.4281486086057769</v>
      </c>
      <c r="BV13" s="7">
        <f t="shared" si="53"/>
        <v>65.268163645994392</v>
      </c>
      <c r="BW13" s="7">
        <f t="shared" si="54"/>
        <v>65.268163645994392</v>
      </c>
      <c r="BY13" s="7">
        <f t="shared" si="55"/>
        <v>0.25824305875847559</v>
      </c>
      <c r="BZ13" s="7">
        <f t="shared" si="56"/>
        <v>1690.748651804829</v>
      </c>
      <c r="CA13" s="7">
        <f t="shared" si="57"/>
        <v>0.30935217612186933</v>
      </c>
      <c r="CB13" s="7">
        <f t="shared" si="58"/>
        <v>0.91087074953819991</v>
      </c>
      <c r="CC13" s="7">
        <f t="shared" si="59"/>
        <v>2.7166361288251939</v>
      </c>
      <c r="CD13" s="7">
        <f t="shared" si="60"/>
        <v>8925928.8037861045</v>
      </c>
      <c r="CE13" s="7">
        <f t="shared" si="61"/>
        <v>6832738.8464784529</v>
      </c>
      <c r="CF13" s="7">
        <f t="shared" si="62"/>
        <v>6.8327388464784526</v>
      </c>
      <c r="CG13" s="7">
        <f t="shared" si="63"/>
        <v>-66.168678830435553</v>
      </c>
      <c r="CH13" s="7">
        <f t="shared" si="64"/>
        <v>66.168678830435553</v>
      </c>
      <c r="CJ13" s="7">
        <f t="shared" si="65"/>
        <v>1.5438134602341049</v>
      </c>
      <c r="CK13" s="7">
        <f t="shared" si="66"/>
        <v>7.9441638524897912E-2</v>
      </c>
      <c r="CL13" s="7">
        <f t="shared" si="67"/>
        <v>0.29989300000000002</v>
      </c>
      <c r="CM13" s="7">
        <f t="shared" si="68"/>
        <v>369.3318485321401</v>
      </c>
      <c r="CN13" s="7">
        <f t="shared" si="69"/>
        <v>111.7600360518491</v>
      </c>
      <c r="CO13" s="7">
        <f t="shared" si="70"/>
        <v>0.48837496469721814</v>
      </c>
      <c r="CP13" s="7">
        <f t="shared" si="71"/>
        <v>1.119307796348388</v>
      </c>
      <c r="CQ13" s="7">
        <f t="shared" si="72"/>
        <v>2.1193077963483882</v>
      </c>
      <c r="CR13" s="7">
        <f t="shared" si="73"/>
        <v>18.81606315622102</v>
      </c>
      <c r="CS13" s="7">
        <f t="shared" si="74"/>
        <v>22.001560053096291</v>
      </c>
      <c r="CT13" s="7">
        <f t="shared" si="75"/>
        <v>-435.06657408921177</v>
      </c>
      <c r="CU13" s="7">
        <f t="shared" si="76"/>
        <v>435.06657408921177</v>
      </c>
      <c r="CW13" s="7">
        <f t="shared" si="77"/>
        <v>4.5167830955808128</v>
      </c>
      <c r="CX13" s="7">
        <f t="shared" si="78"/>
        <v>5.2814594476621615</v>
      </c>
      <c r="CY13" s="7">
        <f t="shared" si="79"/>
        <v>-28.442365270093582</v>
      </c>
      <c r="CZ13" s="7">
        <f t="shared" si="80"/>
        <v>28.442365270093582</v>
      </c>
      <c r="DB13" s="7">
        <f t="shared" si="81"/>
        <v>4.8056465075845161</v>
      </c>
      <c r="DC13" s="7">
        <f t="shared" si="82"/>
        <v>5.6192264743550178</v>
      </c>
      <c r="DD13" s="7">
        <f t="shared" si="83"/>
        <v>-36.656684862735922</v>
      </c>
      <c r="DE13" s="7">
        <f t="shared" si="84"/>
        <v>36.656684862735922</v>
      </c>
      <c r="DG13" s="7">
        <f t="shared" si="85"/>
        <v>8925928.8037861045</v>
      </c>
      <c r="DH13" s="7">
        <f t="shared" si="86"/>
        <v>0.17230060940112779</v>
      </c>
      <c r="DI13" s="7">
        <f t="shared" si="87"/>
        <v>1537942.9723634254</v>
      </c>
      <c r="DJ13" s="7">
        <f t="shared" si="88"/>
        <v>1.5379429723634255</v>
      </c>
      <c r="DK13" s="7">
        <f t="shared" si="89"/>
        <v>62.598021441153669</v>
      </c>
      <c r="DL13" s="7">
        <f t="shared" si="90"/>
        <v>62.598021441153669</v>
      </c>
    </row>
    <row r="14" spans="1:116" x14ac:dyDescent="0.3">
      <c r="A14" s="7">
        <v>13</v>
      </c>
      <c r="B14" s="8" t="s">
        <v>44</v>
      </c>
      <c r="C14" s="9">
        <v>0</v>
      </c>
      <c r="D14" s="7">
        <v>130.57</v>
      </c>
      <c r="E14" s="10">
        <v>100</v>
      </c>
      <c r="F14" s="9">
        <v>10</v>
      </c>
      <c r="G14" s="21">
        <f t="shared" si="25"/>
        <v>1.5915494309189535</v>
      </c>
      <c r="H14" s="7">
        <v>0.2</v>
      </c>
      <c r="I14" s="7">
        <v>309.91024967192601</v>
      </c>
      <c r="J14" s="7">
        <v>14.727354996300001</v>
      </c>
      <c r="K14" s="7">
        <f t="shared" si="0"/>
        <v>4.752135501129931E-2</v>
      </c>
      <c r="L14" s="7">
        <f t="shared" si="26"/>
        <v>3.9999999999999998E-6</v>
      </c>
      <c r="M14" s="7">
        <f t="shared" si="1"/>
        <v>1.9008542004519723E-6</v>
      </c>
      <c r="N14" s="7">
        <f t="shared" si="2"/>
        <v>4564.1582639104199</v>
      </c>
      <c r="O14" s="7">
        <f t="shared" si="3"/>
        <v>1.5400000000000002E-5</v>
      </c>
      <c r="P14" s="7">
        <f t="shared" si="4"/>
        <v>9.9999999999999995E-8</v>
      </c>
      <c r="Q14" s="7">
        <v>0.02</v>
      </c>
      <c r="R14" s="7">
        <f t="shared" si="5"/>
        <v>1.2987012987012987E-4</v>
      </c>
      <c r="S14" s="7">
        <f t="shared" si="6"/>
        <v>12.473293876846171</v>
      </c>
      <c r="T14" s="9">
        <f t="shared" si="7"/>
        <v>4551.6849700335733</v>
      </c>
      <c r="U14" s="11">
        <f t="shared" si="27"/>
        <v>4.5516849700335733</v>
      </c>
      <c r="V14" s="7">
        <v>23.100596090709999</v>
      </c>
      <c r="W14" s="7">
        <v>23.651146474650002</v>
      </c>
      <c r="X14" s="7">
        <f t="shared" si="8"/>
        <v>23.375871282680002</v>
      </c>
      <c r="Y14" s="7">
        <v>99.4</v>
      </c>
      <c r="Z14" s="9">
        <f t="shared" si="9"/>
        <v>76.024128717319996</v>
      </c>
      <c r="AA14" s="9">
        <f t="shared" si="10"/>
        <v>7.1624825743464002E-2</v>
      </c>
      <c r="AB14" s="9">
        <f t="shared" si="11"/>
        <v>997.46130903869278</v>
      </c>
      <c r="AC14" s="12">
        <v>0.99839999999999995</v>
      </c>
      <c r="AD14" s="12">
        <f t="shared" si="12"/>
        <v>2258180.3232856165</v>
      </c>
      <c r="AE14" s="12">
        <f t="shared" si="13"/>
        <v>0.59000762111999994</v>
      </c>
      <c r="AF14" s="12">
        <v>9.81</v>
      </c>
      <c r="AG14" s="7">
        <f t="shared" si="14"/>
        <v>4551684.970033573</v>
      </c>
      <c r="AH14" s="7">
        <f t="shared" si="15"/>
        <v>4.5516849700335733</v>
      </c>
      <c r="AI14" s="7">
        <f t="shared" si="16"/>
        <v>2.6457513110645908E-2</v>
      </c>
      <c r="AJ14" s="7">
        <f t="shared" si="17"/>
        <v>1.4143549766589715E-2</v>
      </c>
      <c r="AK14" s="7">
        <f t="shared" si="18"/>
        <v>3.0000666659259424E-2</v>
      </c>
      <c r="AL14" s="7">
        <f t="shared" si="28"/>
        <v>5.9171904610436457</v>
      </c>
      <c r="AM14" s="7">
        <f t="shared" si="29"/>
        <v>3.186179479023501</v>
      </c>
      <c r="AN14" s="7">
        <f t="shared" si="30"/>
        <v>4.5516849700335733</v>
      </c>
      <c r="AO14" s="9">
        <f t="shared" si="19"/>
        <v>4182.5002759447634</v>
      </c>
      <c r="AP14" s="9">
        <f t="shared" si="20"/>
        <v>0.60486260323965169</v>
      </c>
      <c r="AQ14" s="9">
        <f t="shared" si="21"/>
        <v>10</v>
      </c>
      <c r="AR14" s="9">
        <f t="shared" si="22"/>
        <v>8.8516777727899992E-4</v>
      </c>
      <c r="AS14" s="12">
        <f t="shared" si="23"/>
        <v>1.2798654923651744E-5</v>
      </c>
      <c r="AT14" s="9">
        <f t="shared" si="24"/>
        <v>0.16337859616062328</v>
      </c>
      <c r="AU14" s="9">
        <f t="shared" si="31"/>
        <v>0.14080848019967174</v>
      </c>
      <c r="AV14" s="9">
        <f t="shared" si="32"/>
        <v>3.6950665206520847</v>
      </c>
      <c r="AY14" s="7">
        <f t="shared" si="33"/>
        <v>1168965.3684519338</v>
      </c>
      <c r="AZ14" s="7">
        <f t="shared" si="34"/>
        <v>1.1689653684519339</v>
      </c>
      <c r="BA14" s="7">
        <f t="shared" si="35"/>
        <v>74.317964091365681</v>
      </c>
      <c r="BB14" s="7">
        <f t="shared" si="36"/>
        <v>74.317964091365681</v>
      </c>
      <c r="BD14" s="7">
        <f t="shared" si="37"/>
        <v>31231899.157112733</v>
      </c>
      <c r="BE14" s="7">
        <f t="shared" si="38"/>
        <v>0.30199517204020154</v>
      </c>
      <c r="BF14" s="7">
        <f t="shared" si="39"/>
        <v>6.9394535983570663E-2</v>
      </c>
      <c r="BG14" s="7">
        <f t="shared" si="40"/>
        <v>1.3014439884954851</v>
      </c>
      <c r="BH14" s="7">
        <f t="shared" si="41"/>
        <v>1.0683281572999748</v>
      </c>
      <c r="BI14" s="7">
        <f t="shared" si="42"/>
        <v>4324982.9322547931</v>
      </c>
      <c r="BJ14" s="7">
        <f t="shared" si="43"/>
        <v>5235008.98670673</v>
      </c>
      <c r="BK14" s="7">
        <f t="shared" si="44"/>
        <v>5.2350089867067302</v>
      </c>
      <c r="BL14" s="7">
        <f t="shared" si="45"/>
        <v>-15.01255076245131</v>
      </c>
      <c r="BM14" s="7">
        <f t="shared" si="46"/>
        <v>15.01255076245131</v>
      </c>
      <c r="BO14" s="7">
        <f t="shared" si="47"/>
        <v>1381867.3940708821</v>
      </c>
      <c r="BP14" s="7">
        <f t="shared" si="48"/>
        <v>1.3818673940708821</v>
      </c>
      <c r="BQ14" s="7">
        <f t="shared" si="49"/>
        <v>69.640530854649867</v>
      </c>
      <c r="BR14" s="7">
        <f t="shared" si="50"/>
        <v>69.640530854649867</v>
      </c>
      <c r="BT14" s="7">
        <f t="shared" si="51"/>
        <v>1427743.9614680109</v>
      </c>
      <c r="BU14" s="7">
        <f t="shared" si="52"/>
        <v>1.427743961468011</v>
      </c>
      <c r="BV14" s="7">
        <f t="shared" si="53"/>
        <v>68.632627897851208</v>
      </c>
      <c r="BW14" s="7">
        <f t="shared" si="54"/>
        <v>68.632627897851208</v>
      </c>
      <c r="BY14" s="7">
        <f t="shared" si="55"/>
        <v>0.25823822893711201</v>
      </c>
      <c r="BZ14" s="7">
        <f t="shared" si="56"/>
        <v>1690.5905505851458</v>
      </c>
      <c r="CA14" s="7">
        <f t="shared" si="57"/>
        <v>0.30934856004938949</v>
      </c>
      <c r="CB14" s="7">
        <f t="shared" si="58"/>
        <v>0.91087260296421546</v>
      </c>
      <c r="CC14" s="7">
        <f t="shared" si="59"/>
        <v>2.7166043795671584</v>
      </c>
      <c r="CD14" s="7">
        <f t="shared" si="60"/>
        <v>8923399.7591750678</v>
      </c>
      <c r="CE14" s="7">
        <f t="shared" si="61"/>
        <v>6830657.1016649017</v>
      </c>
      <c r="CF14" s="7">
        <f t="shared" si="62"/>
        <v>6.8306571016649018</v>
      </c>
      <c r="CG14" s="7">
        <f t="shared" si="63"/>
        <v>-50.068757979410833</v>
      </c>
      <c r="CH14" s="7">
        <f t="shared" si="64"/>
        <v>50.068757979410833</v>
      </c>
      <c r="CJ14" s="7">
        <f t="shared" si="65"/>
        <v>1.5438134602341049</v>
      </c>
      <c r="CK14" s="7">
        <f t="shared" si="66"/>
        <v>7.9441638524897912E-2</v>
      </c>
      <c r="CL14" s="7">
        <f t="shared" si="67"/>
        <v>0.29989300000000002</v>
      </c>
      <c r="CM14" s="7">
        <f t="shared" si="68"/>
        <v>369.50665206520847</v>
      </c>
      <c r="CN14" s="7">
        <f t="shared" si="69"/>
        <v>111.81245840779157</v>
      </c>
      <c r="CO14" s="7">
        <f t="shared" si="70"/>
        <v>0.48832188381699826</v>
      </c>
      <c r="CP14" s="7">
        <f t="shared" si="71"/>
        <v>1.1137273725236296</v>
      </c>
      <c r="CQ14" s="7">
        <f t="shared" si="72"/>
        <v>2.1137273725236296</v>
      </c>
      <c r="CR14" s="7">
        <f t="shared" si="73"/>
        <v>18.775320574559572</v>
      </c>
      <c r="CS14" s="7">
        <f t="shared" si="74"/>
        <v>21.947699533243206</v>
      </c>
      <c r="CT14" s="7">
        <f t="shared" si="75"/>
        <v>-382.1884571919598</v>
      </c>
      <c r="CU14" s="7">
        <f t="shared" si="76"/>
        <v>382.1884571919598</v>
      </c>
      <c r="CW14" s="7">
        <f t="shared" si="77"/>
        <v>4.4992334513473882</v>
      </c>
      <c r="CX14" s="7">
        <f t="shared" si="78"/>
        <v>5.2594480892055655</v>
      </c>
      <c r="CY14" s="7">
        <f t="shared" si="79"/>
        <v>-15.549475058832373</v>
      </c>
      <c r="CZ14" s="7">
        <f t="shared" si="80"/>
        <v>15.549475058832373</v>
      </c>
      <c r="DB14" s="7">
        <f t="shared" si="81"/>
        <v>4.7866730665803416</v>
      </c>
      <c r="DC14" s="7">
        <f t="shared" si="82"/>
        <v>5.5954550449340372</v>
      </c>
      <c r="DD14" s="7">
        <f t="shared" si="83"/>
        <v>-22.93150957880912</v>
      </c>
      <c r="DE14" s="7">
        <f t="shared" si="84"/>
        <v>22.93150957880912</v>
      </c>
      <c r="DG14" s="7">
        <f t="shared" si="85"/>
        <v>8923399.7591750678</v>
      </c>
      <c r="DH14" s="7">
        <f t="shared" si="86"/>
        <v>0.17230060940112779</v>
      </c>
      <c r="DI14" s="7">
        <f t="shared" si="87"/>
        <v>1537507.2164357412</v>
      </c>
      <c r="DJ14" s="7">
        <f t="shared" si="88"/>
        <v>1.5375072164357411</v>
      </c>
      <c r="DK14" s="7">
        <f t="shared" si="89"/>
        <v>66.221141696798924</v>
      </c>
      <c r="DL14" s="7">
        <f t="shared" si="90"/>
        <v>66.221141696798924</v>
      </c>
    </row>
    <row r="15" spans="1:116" x14ac:dyDescent="0.3">
      <c r="A15" s="7">
        <v>14</v>
      </c>
      <c r="B15" s="8" t="s">
        <v>41</v>
      </c>
      <c r="C15" s="9">
        <v>180</v>
      </c>
      <c r="D15" s="7">
        <v>130.52000000000001</v>
      </c>
      <c r="E15" s="10">
        <v>100</v>
      </c>
      <c r="F15" s="9">
        <v>10</v>
      </c>
      <c r="G15" s="21">
        <f t="shared" si="25"/>
        <v>1.5915494309189535</v>
      </c>
      <c r="H15" s="7">
        <v>0.2</v>
      </c>
      <c r="I15" s="7">
        <v>246.23058558558</v>
      </c>
      <c r="J15" s="7">
        <v>11.41742032086</v>
      </c>
      <c r="K15" s="7">
        <f t="shared" si="0"/>
        <v>4.6368814392847867E-2</v>
      </c>
      <c r="L15" s="7">
        <f t="shared" si="26"/>
        <v>3.9999999999999998E-6</v>
      </c>
      <c r="M15" s="7">
        <f t="shared" si="1"/>
        <v>1.8547525757139143E-6</v>
      </c>
      <c r="N15" s="7">
        <f t="shared" si="2"/>
        <v>2811.3180914820587</v>
      </c>
      <c r="O15" s="7">
        <f t="shared" si="3"/>
        <v>1.5400000000000002E-5</v>
      </c>
      <c r="P15" s="7">
        <f t="shared" si="4"/>
        <v>9.9999999999999995E-8</v>
      </c>
      <c r="Q15" s="7">
        <v>0.02</v>
      </c>
      <c r="R15" s="7">
        <f t="shared" si="5"/>
        <v>1.2987012987012987E-4</v>
      </c>
      <c r="S15" s="7">
        <f t="shared" si="6"/>
        <v>7.8739612049113816</v>
      </c>
      <c r="T15" s="9">
        <f t="shared" si="7"/>
        <v>2803.4441302771475</v>
      </c>
      <c r="U15" s="11">
        <f t="shared" si="27"/>
        <v>2.8034441302771476</v>
      </c>
      <c r="V15" s="7">
        <v>18.496948945300002</v>
      </c>
      <c r="W15" s="7">
        <v>19.359428977139999</v>
      </c>
      <c r="X15" s="7">
        <f t="shared" si="8"/>
        <v>18.928188961220002</v>
      </c>
      <c r="Y15" s="7">
        <v>99.4</v>
      </c>
      <c r="Z15" s="9">
        <f t="shared" si="9"/>
        <v>80.471811038780004</v>
      </c>
      <c r="AA15" s="9">
        <f t="shared" si="10"/>
        <v>7.2514362207756006E-2</v>
      </c>
      <c r="AB15" s="9">
        <f t="shared" si="11"/>
        <v>998.52035637545748</v>
      </c>
      <c r="AC15" s="12">
        <v>0.99839999999999995</v>
      </c>
      <c r="AD15" s="12">
        <f t="shared" si="12"/>
        <v>2258180.3232856165</v>
      </c>
      <c r="AE15" s="12">
        <f t="shared" si="13"/>
        <v>0.59000762111999994</v>
      </c>
      <c r="AF15" s="12">
        <v>9.81</v>
      </c>
      <c r="AG15" s="7">
        <f t="shared" si="14"/>
        <v>2803444.1302771475</v>
      </c>
      <c r="AH15" s="7">
        <f t="shared" si="15"/>
        <v>2.8034441302771476</v>
      </c>
      <c r="AI15" s="7">
        <f t="shared" si="16"/>
        <v>2.6457513110645908E-2</v>
      </c>
      <c r="AJ15" s="7">
        <f t="shared" si="17"/>
        <v>1.4143549766589715E-2</v>
      </c>
      <c r="AK15" s="7">
        <f t="shared" si="18"/>
        <v>3.0000666659259424E-2</v>
      </c>
      <c r="AL15" s="7">
        <f t="shared" si="28"/>
        <v>3.6444773693602919</v>
      </c>
      <c r="AM15" s="7">
        <f t="shared" si="29"/>
        <v>1.9624108911940032</v>
      </c>
      <c r="AN15" s="7">
        <f t="shared" si="30"/>
        <v>2.8034441302771476</v>
      </c>
      <c r="AO15" s="9">
        <f t="shared" si="19"/>
        <v>4185.0671390793086</v>
      </c>
      <c r="AP15" s="9">
        <f t="shared" si="20"/>
        <v>0.59695925234116742</v>
      </c>
      <c r="AQ15" s="9">
        <f t="shared" si="21"/>
        <v>10</v>
      </c>
      <c r="AR15" s="9">
        <f t="shared" si="22"/>
        <v>9.5652031948143142E-4</v>
      </c>
      <c r="AS15" s="12">
        <f t="shared" si="23"/>
        <v>1.2798654923651744E-5</v>
      </c>
      <c r="AT15" s="9">
        <f t="shared" si="24"/>
        <v>0.14912417634868361</v>
      </c>
      <c r="AU15" s="9">
        <f t="shared" si="31"/>
        <v>0.14913774977482239</v>
      </c>
      <c r="AV15" s="9">
        <f t="shared" si="32"/>
        <v>3.6742829977859066</v>
      </c>
      <c r="AY15" s="7">
        <f t="shared" si="33"/>
        <v>1172889.3492581968</v>
      </c>
      <c r="AZ15" s="7">
        <f t="shared" si="34"/>
        <v>1.1728893492581969</v>
      </c>
      <c r="BA15" s="7">
        <f t="shared" si="35"/>
        <v>58.162556671238335</v>
      </c>
      <c r="BB15" s="7">
        <f t="shared" si="36"/>
        <v>58.162556671238335</v>
      </c>
      <c r="BD15" s="7">
        <f t="shared" si="37"/>
        <v>31336738.338959455</v>
      </c>
      <c r="BE15" s="7">
        <f t="shared" si="38"/>
        <v>0.30199517204020154</v>
      </c>
      <c r="BF15" s="7">
        <f t="shared" si="39"/>
        <v>6.9865836919030172E-2</v>
      </c>
      <c r="BG15" s="7">
        <f t="shared" si="40"/>
        <v>1.320517567957542</v>
      </c>
      <c r="BH15" s="7">
        <f t="shared" si="41"/>
        <v>0.8</v>
      </c>
      <c r="BI15" s="7">
        <f t="shared" si="42"/>
        <v>4716337.7483537393</v>
      </c>
      <c r="BJ15" s="7">
        <f t="shared" si="43"/>
        <v>5414815.9023794159</v>
      </c>
      <c r="BK15" s="7">
        <f t="shared" si="44"/>
        <v>5.4148159023794156</v>
      </c>
      <c r="BL15" s="7">
        <f t="shared" si="45"/>
        <v>-93.148700339682136</v>
      </c>
      <c r="BM15" s="7">
        <f t="shared" si="46"/>
        <v>93.148700339682136</v>
      </c>
      <c r="BO15" s="7">
        <f t="shared" si="47"/>
        <v>1382748.040662226</v>
      </c>
      <c r="BP15" s="7">
        <f t="shared" si="48"/>
        <v>1.3827480406622261</v>
      </c>
      <c r="BQ15" s="7">
        <f t="shared" si="49"/>
        <v>50.676811222004694</v>
      </c>
      <c r="BR15" s="7">
        <f t="shared" si="50"/>
        <v>50.676811222004694</v>
      </c>
      <c r="BT15" s="7">
        <f t="shared" si="51"/>
        <v>1432536.6097810038</v>
      </c>
      <c r="BU15" s="7">
        <f t="shared" si="52"/>
        <v>1.4325366097810037</v>
      </c>
      <c r="BV15" s="7">
        <f t="shared" si="53"/>
        <v>48.900832575558283</v>
      </c>
      <c r="BW15" s="7">
        <f t="shared" si="54"/>
        <v>48.900832575558283</v>
      </c>
      <c r="BY15" s="7">
        <f t="shared" si="55"/>
        <v>0.25829304217771337</v>
      </c>
      <c r="BZ15" s="7">
        <f t="shared" si="56"/>
        <v>1692.3855228852567</v>
      </c>
      <c r="CA15" s="7">
        <f t="shared" si="57"/>
        <v>0.30938959706574426</v>
      </c>
      <c r="CB15" s="7">
        <f t="shared" si="58"/>
        <v>0.91085156809940104</v>
      </c>
      <c r="CC15" s="7">
        <f t="shared" si="59"/>
        <v>2.7169646862071919</v>
      </c>
      <c r="CD15" s="7">
        <f t="shared" si="60"/>
        <v>8953353.8111312725</v>
      </c>
      <c r="CE15" s="7">
        <f t="shared" si="61"/>
        <v>6855246.2176951617</v>
      </c>
      <c r="CF15" s="7">
        <f t="shared" si="62"/>
        <v>6.8552462176951616</v>
      </c>
      <c r="CG15" s="7">
        <f t="shared" si="63"/>
        <v>-144.52943947263378</v>
      </c>
      <c r="CH15" s="7">
        <f t="shared" si="64"/>
        <v>144.52943947263378</v>
      </c>
      <c r="CJ15" s="7">
        <f t="shared" si="65"/>
        <v>1.5438134602341049</v>
      </c>
      <c r="CK15" s="7">
        <f t="shared" si="66"/>
        <v>7.9441638524897912E-2</v>
      </c>
      <c r="CL15" s="7">
        <f t="shared" si="67"/>
        <v>0.29989300000000002</v>
      </c>
      <c r="CM15" s="7">
        <f t="shared" si="68"/>
        <v>367.4282997785906</v>
      </c>
      <c r="CN15" s="7">
        <f t="shared" si="69"/>
        <v>111.18917510550088</v>
      </c>
      <c r="CO15" s="7">
        <f t="shared" si="70"/>
        <v>0.48901061548170865</v>
      </c>
      <c r="CP15" s="7">
        <f t="shared" si="71"/>
        <v>1.180547095350047</v>
      </c>
      <c r="CQ15" s="7">
        <f t="shared" si="72"/>
        <v>2.1805470953500468</v>
      </c>
      <c r="CR15" s="7">
        <f t="shared" si="73"/>
        <v>19.260882080137982</v>
      </c>
      <c r="CS15" s="7">
        <f t="shared" si="74"/>
        <v>22.590883449111903</v>
      </c>
      <c r="CT15" s="7">
        <f t="shared" si="75"/>
        <v>-705.82606248973389</v>
      </c>
      <c r="CU15" s="7">
        <f t="shared" si="76"/>
        <v>705.82606248973389</v>
      </c>
      <c r="CW15" s="7">
        <f t="shared" si="77"/>
        <v>4.7093719538821786</v>
      </c>
      <c r="CX15" s="7">
        <f t="shared" si="78"/>
        <v>5.5235722064036716</v>
      </c>
      <c r="CY15" s="7">
        <f t="shared" si="79"/>
        <v>-97.028082234605236</v>
      </c>
      <c r="CZ15" s="7">
        <f t="shared" si="80"/>
        <v>97.028082234605236</v>
      </c>
      <c r="DB15" s="7">
        <f t="shared" si="81"/>
        <v>5.0138601241901615</v>
      </c>
      <c r="DC15" s="7">
        <f t="shared" si="82"/>
        <v>5.8807031383330211</v>
      </c>
      <c r="DD15" s="7">
        <f t="shared" si="83"/>
        <v>-109.7670888041438</v>
      </c>
      <c r="DE15" s="7">
        <f t="shared" si="84"/>
        <v>109.7670888041438</v>
      </c>
      <c r="DG15" s="7">
        <f t="shared" si="85"/>
        <v>8953353.8111312725</v>
      </c>
      <c r="DH15" s="7">
        <f t="shared" si="86"/>
        <v>3.952847075210475E-2</v>
      </c>
      <c r="DI15" s="7">
        <f t="shared" si="87"/>
        <v>353912.38425654807</v>
      </c>
      <c r="DJ15" s="7">
        <f t="shared" si="88"/>
        <v>0.35391238425654808</v>
      </c>
      <c r="DK15" s="7">
        <f t="shared" si="89"/>
        <v>87.375800343787816</v>
      </c>
      <c r="DL15" s="7">
        <f t="shared" si="90"/>
        <v>87.375800343787816</v>
      </c>
    </row>
    <row r="16" spans="1:116" s="14" customFormat="1" x14ac:dyDescent="0.3">
      <c r="A16" s="7">
        <v>15</v>
      </c>
      <c r="B16" s="14" t="s">
        <v>41</v>
      </c>
      <c r="C16" s="9">
        <v>180</v>
      </c>
      <c r="D16" s="14">
        <v>80.22</v>
      </c>
      <c r="E16" s="15">
        <v>50</v>
      </c>
      <c r="F16" s="9">
        <v>20</v>
      </c>
      <c r="G16" s="21">
        <f t="shared" si="25"/>
        <v>3.183098861837907</v>
      </c>
      <c r="H16" s="14">
        <v>0.2</v>
      </c>
      <c r="I16" s="14">
        <v>418.34823060720197</v>
      </c>
      <c r="J16" s="14">
        <v>6.4295572813239996</v>
      </c>
      <c r="K16" s="14">
        <f t="shared" si="0"/>
        <v>1.5368912334090587E-2</v>
      </c>
      <c r="L16" s="14">
        <f t="shared" si="26"/>
        <v>7.9999999999999996E-6</v>
      </c>
      <c r="M16" s="14">
        <f t="shared" si="1"/>
        <v>2.4590259734544935E-6</v>
      </c>
      <c r="N16" s="14">
        <f t="shared" si="2"/>
        <v>2689.793912229547</v>
      </c>
      <c r="O16" s="14">
        <f t="shared" si="3"/>
        <v>1.5400000000000002E-5</v>
      </c>
      <c r="P16" s="14">
        <f t="shared" si="4"/>
        <v>9.9999999999999995E-8</v>
      </c>
      <c r="Q16" s="14">
        <v>0.02</v>
      </c>
      <c r="R16" s="14">
        <f t="shared" si="5"/>
        <v>1.2987012987012987E-4</v>
      </c>
      <c r="S16" s="14">
        <f t="shared" si="6"/>
        <v>22.729252214568394</v>
      </c>
      <c r="T16" s="9">
        <f t="shared" si="7"/>
        <v>2667.0646600149785</v>
      </c>
      <c r="U16" s="15">
        <f t="shared" si="27"/>
        <v>2.6670646600149785</v>
      </c>
      <c r="V16" s="14">
        <v>18.555071851339999</v>
      </c>
      <c r="W16" s="14">
        <v>19.09634288626</v>
      </c>
      <c r="X16" s="14">
        <f t="shared" si="8"/>
        <v>18.8257073688</v>
      </c>
      <c r="Y16" s="14">
        <v>99.4</v>
      </c>
      <c r="Z16" s="9">
        <f t="shared" si="9"/>
        <v>80.574292631200009</v>
      </c>
      <c r="AA16" s="9">
        <f t="shared" si="10"/>
        <v>7.2534858526240004E-2</v>
      </c>
      <c r="AB16" s="9">
        <f t="shared" si="11"/>
        <v>998.54335956678244</v>
      </c>
      <c r="AC16" s="12">
        <v>0.99839999999999995</v>
      </c>
      <c r="AD16" s="12">
        <f t="shared" si="12"/>
        <v>2258180.3232856165</v>
      </c>
      <c r="AE16" s="12">
        <f t="shared" si="13"/>
        <v>0.59000762111999994</v>
      </c>
      <c r="AF16" s="12">
        <v>9.81</v>
      </c>
      <c r="AG16" s="14">
        <f t="shared" si="14"/>
        <v>2667064.6600149786</v>
      </c>
      <c r="AH16" s="14">
        <f t="shared" si="15"/>
        <v>2.6670646600149785</v>
      </c>
      <c r="AI16" s="14">
        <f t="shared" si="16"/>
        <v>2.6457513110645908E-2</v>
      </c>
      <c r="AJ16" s="14">
        <f t="shared" si="17"/>
        <v>1.4143549766589715E-2</v>
      </c>
      <c r="AK16" s="14">
        <f t="shared" si="18"/>
        <v>3.0000666659259424E-2</v>
      </c>
      <c r="AL16" s="14">
        <f t="shared" si="28"/>
        <v>3.4671840580194724</v>
      </c>
      <c r="AM16" s="14">
        <f t="shared" si="29"/>
        <v>1.8669452620104849</v>
      </c>
      <c r="AN16" s="14">
        <f t="shared" si="30"/>
        <v>2.6670646600149785</v>
      </c>
      <c r="AO16" s="9">
        <f t="shared" si="19"/>
        <v>4185.1436061009699</v>
      </c>
      <c r="AP16" s="9">
        <f t="shared" si="20"/>
        <v>0.59677248363200308</v>
      </c>
      <c r="AQ16" s="9">
        <f t="shared" si="21"/>
        <v>2.5</v>
      </c>
      <c r="AR16" s="9">
        <f t="shared" si="22"/>
        <v>9.5820636194353208E-4</v>
      </c>
      <c r="AS16" s="12">
        <f t="shared" si="23"/>
        <v>1.2798654923651744E-5</v>
      </c>
      <c r="AT16" s="9">
        <f t="shared" si="24"/>
        <v>0.14881248724873267</v>
      </c>
      <c r="AU16" s="9">
        <f t="shared" si="31"/>
        <v>0.1493304064978003</v>
      </c>
      <c r="AV16" s="9">
        <f t="shared" si="32"/>
        <v>7.3476123558699857</v>
      </c>
      <c r="AW16" s="13"/>
      <c r="AX16" s="13"/>
      <c r="AY16" s="14">
        <f t="shared" si="33"/>
        <v>1172978.9797678695</v>
      </c>
      <c r="AZ16" s="14">
        <f t="shared" si="34"/>
        <v>1.1729789797678694</v>
      </c>
      <c r="BA16" s="14">
        <f t="shared" si="35"/>
        <v>56.019852186062792</v>
      </c>
      <c r="BB16" s="14">
        <f t="shared" si="36"/>
        <v>56.019852186062792</v>
      </c>
      <c r="BD16" s="14">
        <f t="shared" si="37"/>
        <v>31339133.047233153</v>
      </c>
      <c r="BE16" s="14">
        <f t="shared" si="38"/>
        <v>0.62097082391581759</v>
      </c>
      <c r="BF16" s="14">
        <f t="shared" si="39"/>
        <v>3.0415608302148383E-2</v>
      </c>
      <c r="BG16" s="14">
        <f t="shared" si="40"/>
        <v>1.3209603833003989</v>
      </c>
      <c r="BH16" s="7">
        <f t="shared" si="41"/>
        <v>0.8</v>
      </c>
      <c r="BI16" s="14">
        <f t="shared" si="42"/>
        <v>4725797.0170466471</v>
      </c>
      <c r="BJ16" s="14">
        <f t="shared" si="43"/>
        <v>5351307.3095662659</v>
      </c>
      <c r="BK16" s="14">
        <f t="shared" si="44"/>
        <v>5.3513073095662662</v>
      </c>
      <c r="BL16" s="14">
        <f t="shared" si="45"/>
        <v>-100.64407848050496</v>
      </c>
      <c r="BM16" s="7">
        <f t="shared" si="46"/>
        <v>100.64407848050496</v>
      </c>
      <c r="BO16" s="14">
        <f t="shared" si="47"/>
        <v>1382767.1647250245</v>
      </c>
      <c r="BP16" s="14">
        <f t="shared" si="48"/>
        <v>1.3827671647250246</v>
      </c>
      <c r="BQ16" s="14">
        <f t="shared" si="49"/>
        <v>48.153969213582585</v>
      </c>
      <c r="BR16" s="14">
        <f t="shared" si="50"/>
        <v>48.153969213582585</v>
      </c>
      <c r="BT16" s="14">
        <f t="shared" si="51"/>
        <v>1432646.08215923</v>
      </c>
      <c r="BU16" s="14">
        <f t="shared" si="52"/>
        <v>1.4326460821592299</v>
      </c>
      <c r="BV16" s="14">
        <f t="shared" si="53"/>
        <v>46.283788929542332</v>
      </c>
      <c r="BW16" s="14">
        <f t="shared" si="54"/>
        <v>46.283788929542332</v>
      </c>
      <c r="BY16" s="14">
        <f t="shared" si="55"/>
        <v>0.25829423224048553</v>
      </c>
      <c r="BZ16" s="14">
        <f t="shared" si="56"/>
        <v>1692.4245108415162</v>
      </c>
      <c r="CA16" s="14">
        <f t="shared" si="57"/>
        <v>0.30939048799354563</v>
      </c>
      <c r="CB16" s="14">
        <f t="shared" si="58"/>
        <v>0.91085111139479868</v>
      </c>
      <c r="CC16" s="14">
        <f t="shared" si="59"/>
        <v>2.716972508589516</v>
      </c>
      <c r="CD16" s="14">
        <f t="shared" si="60"/>
        <v>8954038.0134951863</v>
      </c>
      <c r="CE16" s="14">
        <f t="shared" si="61"/>
        <v>6855806.1286910335</v>
      </c>
      <c r="CF16" s="14">
        <f t="shared" si="62"/>
        <v>6.8558061286910332</v>
      </c>
      <c r="CG16" s="14">
        <f t="shared" si="63"/>
        <v>-157.05436510311415</v>
      </c>
      <c r="CH16" s="14">
        <f t="shared" si="64"/>
        <v>157.05436510311415</v>
      </c>
      <c r="CJ16" s="14">
        <f t="shared" si="65"/>
        <v>1.5438134602341049</v>
      </c>
      <c r="CK16" s="14">
        <f t="shared" si="66"/>
        <v>7.9441638524897912E-2</v>
      </c>
      <c r="CL16" s="14">
        <f t="shared" si="67"/>
        <v>0.30064649999999998</v>
      </c>
      <c r="CM16" s="14">
        <f t="shared" si="68"/>
        <v>367.38061779349925</v>
      </c>
      <c r="CN16" s="14">
        <f t="shared" si="69"/>
        <v>111.45169690745327</v>
      </c>
      <c r="CO16" s="14">
        <f t="shared" si="70"/>
        <v>0.48902799962389665</v>
      </c>
      <c r="CP16" s="14">
        <f t="shared" si="71"/>
        <v>1.1820925543963865</v>
      </c>
      <c r="CQ16" s="14">
        <f t="shared" si="72"/>
        <v>2.1820925543963865</v>
      </c>
      <c r="CR16" s="14">
        <f t="shared" si="73"/>
        <v>19.320041091493387</v>
      </c>
      <c r="CS16" s="14">
        <f t="shared" si="74"/>
        <v>22.662002088573225</v>
      </c>
      <c r="CT16" s="14">
        <f t="shared" si="75"/>
        <v>-749.69826297521979</v>
      </c>
      <c r="CU16" s="14">
        <f t="shared" si="76"/>
        <v>749.69826297521979</v>
      </c>
      <c r="CW16" s="14">
        <f t="shared" si="77"/>
        <v>4.7142321861649421</v>
      </c>
      <c r="CX16" s="14">
        <f t="shared" si="78"/>
        <v>5.5296952601166058</v>
      </c>
      <c r="CY16" s="14">
        <f t="shared" si="79"/>
        <v>-107.33262837675449</v>
      </c>
      <c r="CZ16" s="14">
        <f t="shared" si="80"/>
        <v>107.33262837675449</v>
      </c>
      <c r="DB16" s="14">
        <f t="shared" si="81"/>
        <v>5.0191146849477164</v>
      </c>
      <c r="DC16" s="14">
        <f t="shared" si="82"/>
        <v>5.8873160224879033</v>
      </c>
      <c r="DD16" s="14">
        <f t="shared" si="83"/>
        <v>-120.74140573910344</v>
      </c>
      <c r="DE16" s="14">
        <f t="shared" si="84"/>
        <v>120.74140573910344</v>
      </c>
      <c r="DG16" s="14">
        <f t="shared" si="85"/>
        <v>8954038.0134951863</v>
      </c>
      <c r="DH16" s="14">
        <f t="shared" si="86"/>
        <v>3.952847075210475E-2</v>
      </c>
      <c r="DI16" s="14">
        <f t="shared" si="87"/>
        <v>353939.42972967861</v>
      </c>
      <c r="DJ16" s="14">
        <f t="shared" si="88"/>
        <v>0.35393942972967862</v>
      </c>
      <c r="DK16" s="14">
        <f t="shared" si="89"/>
        <v>86.729252011172051</v>
      </c>
      <c r="DL16" s="14">
        <f t="shared" si="90"/>
        <v>86.729252011172051</v>
      </c>
    </row>
    <row r="17" spans="1:116" x14ac:dyDescent="0.3">
      <c r="A17" s="7">
        <v>16</v>
      </c>
      <c r="B17" s="8" t="s">
        <v>47</v>
      </c>
      <c r="C17" s="9">
        <v>90</v>
      </c>
      <c r="D17" s="7">
        <v>131.16999999999999</v>
      </c>
      <c r="E17" s="10">
        <v>100</v>
      </c>
      <c r="F17" s="9">
        <v>10</v>
      </c>
      <c r="G17" s="21">
        <f t="shared" si="25"/>
        <v>1.5915494309189535</v>
      </c>
      <c r="H17" s="7">
        <v>0.2</v>
      </c>
      <c r="I17" s="7">
        <v>315.65968164807703</v>
      </c>
      <c r="J17" s="7">
        <v>15.098905081371001</v>
      </c>
      <c r="K17" s="7">
        <f t="shared" si="0"/>
        <v>4.7832859117574865E-2</v>
      </c>
      <c r="L17" s="7">
        <f t="shared" si="26"/>
        <v>3.9999999999999998E-6</v>
      </c>
      <c r="M17" s="7">
        <f t="shared" si="1"/>
        <v>1.9133143647029945E-6</v>
      </c>
      <c r="N17" s="7">
        <f t="shared" si="2"/>
        <v>4766.1155712201025</v>
      </c>
      <c r="O17" s="7">
        <f t="shared" si="3"/>
        <v>1.5400000000000002E-5</v>
      </c>
      <c r="P17" s="7">
        <f t="shared" si="4"/>
        <v>9.9999999999999995E-8</v>
      </c>
      <c r="Q17" s="7">
        <v>0.02</v>
      </c>
      <c r="R17" s="7">
        <f t="shared" si="5"/>
        <v>1.2987012987012987E-4</v>
      </c>
      <c r="S17" s="7">
        <f t="shared" si="6"/>
        <v>12.940394106255237</v>
      </c>
      <c r="T17" s="9">
        <f t="shared" si="7"/>
        <v>4753.175177113847</v>
      </c>
      <c r="U17" s="11">
        <f t="shared" si="27"/>
        <v>4.7531751771138468</v>
      </c>
      <c r="V17" s="7">
        <v>22.217245617909999</v>
      </c>
      <c r="W17" s="7">
        <v>23.086876369140001</v>
      </c>
      <c r="X17" s="7">
        <f t="shared" si="8"/>
        <v>22.652060993524998</v>
      </c>
      <c r="Y17" s="7">
        <v>99.4</v>
      </c>
      <c r="Z17" s="9">
        <f t="shared" si="9"/>
        <v>76.747939006475008</v>
      </c>
      <c r="AA17" s="9">
        <f t="shared" si="10"/>
        <v>7.1769587801295012E-2</v>
      </c>
      <c r="AB17" s="9">
        <f t="shared" si="11"/>
        <v>997.64174321575695</v>
      </c>
      <c r="AC17" s="12">
        <v>0.99839999999999995</v>
      </c>
      <c r="AD17" s="12">
        <f t="shared" si="12"/>
        <v>2258180.3232856165</v>
      </c>
      <c r="AE17" s="12">
        <f t="shared" si="13"/>
        <v>0.59000762111999994</v>
      </c>
      <c r="AF17" s="12">
        <v>9.81</v>
      </c>
      <c r="AG17" s="7">
        <f t="shared" si="14"/>
        <v>4753175.1771138469</v>
      </c>
      <c r="AH17" s="7">
        <f t="shared" si="15"/>
        <v>4.7531751771138468</v>
      </c>
      <c r="AI17" s="7">
        <f t="shared" si="16"/>
        <v>2.6457513110645908E-2</v>
      </c>
      <c r="AJ17" s="7">
        <f t="shared" si="17"/>
        <v>1.4143549766589715E-2</v>
      </c>
      <c r="AK17" s="7">
        <f t="shared" si="18"/>
        <v>3.0000666659259424E-2</v>
      </c>
      <c r="AL17" s="7">
        <f t="shared" si="28"/>
        <v>6.179127730248001</v>
      </c>
      <c r="AM17" s="7">
        <f t="shared" si="29"/>
        <v>3.3272226239796927</v>
      </c>
      <c r="AN17" s="7">
        <f t="shared" si="30"/>
        <v>4.7531751771138468</v>
      </c>
      <c r="AO17" s="9">
        <f t="shared" si="19"/>
        <v>4182.8221834548367</v>
      </c>
      <c r="AP17" s="9">
        <f t="shared" si="20"/>
        <v>0.60360337551321119</v>
      </c>
      <c r="AQ17" s="9">
        <f t="shared" si="21"/>
        <v>10</v>
      </c>
      <c r="AR17" s="9">
        <f t="shared" si="22"/>
        <v>8.9653701733142263E-4</v>
      </c>
      <c r="AS17" s="12">
        <f t="shared" si="23"/>
        <v>1.2798654923651744E-5</v>
      </c>
      <c r="AT17" s="9">
        <f t="shared" si="24"/>
        <v>0.1609585426572476</v>
      </c>
      <c r="AU17" s="9">
        <f t="shared" si="31"/>
        <v>0.1421600296931288</v>
      </c>
      <c r="AV17" s="9">
        <f t="shared" si="32"/>
        <v>3.6916721448166552</v>
      </c>
      <c r="AY17" s="7">
        <f t="shared" si="33"/>
        <v>1169608.4938047403</v>
      </c>
      <c r="AZ17" s="7">
        <f t="shared" si="34"/>
        <v>1.1696084938047402</v>
      </c>
      <c r="BA17" s="7">
        <f t="shared" si="35"/>
        <v>75.393111967841818</v>
      </c>
      <c r="BB17" s="7">
        <f t="shared" si="36"/>
        <v>75.393111967841818</v>
      </c>
      <c r="BD17" s="7">
        <f t="shared" si="37"/>
        <v>31249081.895546496</v>
      </c>
      <c r="BE17" s="7">
        <f t="shared" si="38"/>
        <v>0.30199517204020154</v>
      </c>
      <c r="BF17" s="7">
        <f t="shared" si="39"/>
        <v>6.9471110320517115E-2</v>
      </c>
      <c r="BG17" s="7">
        <f t="shared" si="40"/>
        <v>1.3045295334286091</v>
      </c>
      <c r="BH17" s="7">
        <f t="shared" si="41"/>
        <v>0.98973665961010282</v>
      </c>
      <c r="BI17" s="7">
        <f t="shared" si="42"/>
        <v>4386204.6503274636</v>
      </c>
      <c r="BJ17" s="7">
        <f t="shared" si="43"/>
        <v>5232681.479526829</v>
      </c>
      <c r="BK17" s="7">
        <f t="shared" si="44"/>
        <v>5.2326814795268293</v>
      </c>
      <c r="BL17" s="7">
        <f t="shared" si="45"/>
        <v>-10.08812603250489</v>
      </c>
      <c r="BM17" s="7">
        <f t="shared" si="46"/>
        <v>10.08812603250489</v>
      </c>
      <c r="BO17" s="7">
        <f t="shared" si="47"/>
        <v>1382017.4598299093</v>
      </c>
      <c r="BP17" s="7">
        <f t="shared" si="48"/>
        <v>1.3820174598299093</v>
      </c>
      <c r="BQ17" s="7">
        <f t="shared" si="49"/>
        <v>70.924331455650702</v>
      </c>
      <c r="BR17" s="7">
        <f t="shared" si="50"/>
        <v>70.924331455650702</v>
      </c>
      <c r="BT17" s="7">
        <f t="shared" si="51"/>
        <v>1428529.4580821255</v>
      </c>
      <c r="BU17" s="7">
        <f t="shared" si="52"/>
        <v>1.4285294580821255</v>
      </c>
      <c r="BV17" s="7">
        <f t="shared" si="53"/>
        <v>69.945785609577811</v>
      </c>
      <c r="BW17" s="7">
        <f t="shared" si="54"/>
        <v>69.945785609577811</v>
      </c>
      <c r="BY17" s="7">
        <f t="shared" si="55"/>
        <v>0.25824757097991152</v>
      </c>
      <c r="BZ17" s="7">
        <f t="shared" si="56"/>
        <v>1690.8963672739567</v>
      </c>
      <c r="CA17" s="7">
        <f t="shared" si="57"/>
        <v>0.30935555438534051</v>
      </c>
      <c r="CB17" s="7">
        <f t="shared" si="58"/>
        <v>0.91086901798248088</v>
      </c>
      <c r="CC17" s="7">
        <f t="shared" si="59"/>
        <v>2.7166657901112603</v>
      </c>
      <c r="CD17" s="7">
        <f t="shared" si="60"/>
        <v>8928309.1130132843</v>
      </c>
      <c r="CE17" s="7">
        <f t="shared" si="61"/>
        <v>6834697.2242199378</v>
      </c>
      <c r="CF17" s="7">
        <f t="shared" si="62"/>
        <v>6.834697224219938</v>
      </c>
      <c r="CG17" s="7">
        <f t="shared" si="63"/>
        <v>-43.792243490802761</v>
      </c>
      <c r="CH17" s="7">
        <f t="shared" si="64"/>
        <v>43.792243490802761</v>
      </c>
      <c r="CJ17" s="7">
        <f t="shared" si="65"/>
        <v>1.5438134602341049</v>
      </c>
      <c r="CK17" s="7">
        <f t="shared" si="66"/>
        <v>7.9441638524897912E-2</v>
      </c>
      <c r="CL17" s="7">
        <f t="shared" si="67"/>
        <v>0.29989300000000002</v>
      </c>
      <c r="CM17" s="7">
        <f t="shared" si="68"/>
        <v>369.1672144816655</v>
      </c>
      <c r="CN17" s="7">
        <f t="shared" si="69"/>
        <v>111.71066345255012</v>
      </c>
      <c r="CO17" s="7">
        <f t="shared" si="70"/>
        <v>0.48842572193032435</v>
      </c>
      <c r="CP17" s="7">
        <f t="shared" si="71"/>
        <v>1.1245700254770616</v>
      </c>
      <c r="CQ17" s="7">
        <f t="shared" si="72"/>
        <v>2.1245700254770616</v>
      </c>
      <c r="CR17" s="7">
        <f t="shared" si="73"/>
        <v>18.854450259412889</v>
      </c>
      <c r="CS17" s="7">
        <f t="shared" si="74"/>
        <v>22.052325169428304</v>
      </c>
      <c r="CT17" s="7">
        <f t="shared" si="75"/>
        <v>-363.94934644126863</v>
      </c>
      <c r="CU17" s="7">
        <f t="shared" si="76"/>
        <v>363.94934644126863</v>
      </c>
      <c r="CW17" s="7">
        <f t="shared" si="77"/>
        <v>4.5333320680975699</v>
      </c>
      <c r="CX17" s="7">
        <f t="shared" si="78"/>
        <v>5.3022236920843264</v>
      </c>
      <c r="CY17" s="7">
        <f t="shared" si="79"/>
        <v>-11.551194612268946</v>
      </c>
      <c r="CZ17" s="7">
        <f t="shared" si="80"/>
        <v>11.551194612268946</v>
      </c>
      <c r="DB17" s="7">
        <f t="shared" si="81"/>
        <v>4.8235380866220083</v>
      </c>
      <c r="DC17" s="7">
        <f t="shared" si="82"/>
        <v>5.6416511163037653</v>
      </c>
      <c r="DD17" s="7">
        <f t="shared" si="83"/>
        <v>-18.692261616358216</v>
      </c>
      <c r="DE17" s="7">
        <f t="shared" si="84"/>
        <v>18.692261616358216</v>
      </c>
      <c r="DG17" s="7">
        <f t="shared" si="85"/>
        <v>8928309.1130132843</v>
      </c>
      <c r="DH17" s="7">
        <f t="shared" si="86"/>
        <v>0.125</v>
      </c>
      <c r="DI17" s="7">
        <f t="shared" si="87"/>
        <v>1116038.6391266605</v>
      </c>
      <c r="DJ17" s="7">
        <f t="shared" si="88"/>
        <v>1.1160386391266606</v>
      </c>
      <c r="DK17" s="7">
        <f t="shared" si="89"/>
        <v>76.520145007482654</v>
      </c>
      <c r="DL17" s="7">
        <f t="shared" si="90"/>
        <v>76.520145007482654</v>
      </c>
    </row>
    <row r="18" spans="1:116" x14ac:dyDescent="0.3">
      <c r="A18" s="7">
        <v>17</v>
      </c>
      <c r="B18" s="8" t="s">
        <v>46</v>
      </c>
      <c r="C18" s="9">
        <v>90</v>
      </c>
      <c r="D18" s="7">
        <v>131.43</v>
      </c>
      <c r="E18" s="10">
        <v>50</v>
      </c>
      <c r="F18" s="9">
        <v>20</v>
      </c>
      <c r="G18" s="21">
        <f t="shared" si="25"/>
        <v>3.183098861837907</v>
      </c>
      <c r="H18" s="7">
        <v>0.2</v>
      </c>
      <c r="I18" s="7">
        <v>224.57839550435199</v>
      </c>
      <c r="J18" s="7">
        <v>8.3547947460799996</v>
      </c>
      <c r="K18" s="7">
        <f t="shared" si="0"/>
        <v>3.720213036217055E-2</v>
      </c>
      <c r="L18" s="7">
        <f t="shared" si="26"/>
        <v>7.9999999999999996E-6</v>
      </c>
      <c r="M18" s="7">
        <f t="shared" si="1"/>
        <v>5.9523408579472878E-6</v>
      </c>
      <c r="N18" s="7">
        <f t="shared" si="2"/>
        <v>1876.3063988428362</v>
      </c>
      <c r="O18" s="7">
        <f t="shared" si="3"/>
        <v>1.5400000000000002E-5</v>
      </c>
      <c r="P18" s="7">
        <f t="shared" si="4"/>
        <v>9.9999999999999995E-8</v>
      </c>
      <c r="Q18" s="7">
        <v>0.02</v>
      </c>
      <c r="R18" s="7">
        <f t="shared" si="5"/>
        <v>1.2987012987012987E-4</v>
      </c>
      <c r="S18" s="7">
        <f t="shared" si="6"/>
        <v>6.5500591853648249</v>
      </c>
      <c r="T18" s="9">
        <f t="shared" si="7"/>
        <v>1869.7563396574715</v>
      </c>
      <c r="U18" s="11">
        <f>T18/(E18*F18)</f>
        <v>1.8697563396574715</v>
      </c>
      <c r="V18" s="7">
        <v>96.780020017940004</v>
      </c>
      <c r="W18" s="7">
        <v>96.782107803830002</v>
      </c>
      <c r="X18" s="7">
        <f t="shared" si="8"/>
        <v>96.781063910884995</v>
      </c>
      <c r="Y18" s="7">
        <v>99.4</v>
      </c>
      <c r="Z18" s="9">
        <f t="shared" si="9"/>
        <v>2.6189360891150102</v>
      </c>
      <c r="AA18" s="9">
        <f t="shared" si="10"/>
        <v>5.6943787217823005E-2</v>
      </c>
      <c r="AB18" s="9">
        <f t="shared" si="11"/>
        <v>962.83822269794121</v>
      </c>
      <c r="AC18" s="12">
        <v>0.99839999999999995</v>
      </c>
      <c r="AD18" s="12">
        <f t="shared" si="12"/>
        <v>2258180.3232856165</v>
      </c>
      <c r="AE18" s="12">
        <f t="shared" si="13"/>
        <v>0.59000762111999994</v>
      </c>
      <c r="AF18" s="12">
        <v>9.81</v>
      </c>
      <c r="AG18" s="7">
        <f t="shared" si="14"/>
        <v>1869756.3396574715</v>
      </c>
      <c r="AH18" s="7">
        <f t="shared" si="15"/>
        <v>1.8697563396574715</v>
      </c>
      <c r="AI18" s="7">
        <f t="shared" si="16"/>
        <v>2.6457513110645908E-2</v>
      </c>
      <c r="AJ18" s="7">
        <f t="shared" si="17"/>
        <v>1.4143549766589715E-2</v>
      </c>
      <c r="AK18" s="7">
        <f t="shared" si="18"/>
        <v>3.0000666659259424E-2</v>
      </c>
      <c r="AL18" s="7">
        <f t="shared" si="28"/>
        <v>2.4306832415547128</v>
      </c>
      <c r="AM18" s="7">
        <f t="shared" si="29"/>
        <v>1.3088294377602299</v>
      </c>
      <c r="AN18" s="7">
        <f t="shared" si="30"/>
        <v>1.8697563396574712</v>
      </c>
      <c r="AO18" s="9">
        <f t="shared" si="19"/>
        <v>4311.2982404734994</v>
      </c>
      <c r="AP18" s="9">
        <f t="shared" si="20"/>
        <v>0.67815259728671884</v>
      </c>
      <c r="AQ18" s="9">
        <f t="shared" si="21"/>
        <v>2.5</v>
      </c>
      <c r="AR18" s="9">
        <f t="shared" si="22"/>
        <v>2.2188757122398525E-4</v>
      </c>
      <c r="AS18" s="12">
        <f t="shared" si="23"/>
        <v>1.2798654923651744E-5</v>
      </c>
      <c r="AT18" s="9">
        <f t="shared" si="24"/>
        <v>0.70890230121571052</v>
      </c>
      <c r="AU18" s="9">
        <f t="shared" si="31"/>
        <v>5.0000500121645929E-3</v>
      </c>
      <c r="AV18" s="9">
        <f t="shared" si="32"/>
        <v>8.1430083949436494</v>
      </c>
      <c r="AY18" s="7">
        <f t="shared" si="33"/>
        <v>1094105.8561390077</v>
      </c>
      <c r="AZ18" s="7">
        <f t="shared" si="34"/>
        <v>1.0941058561390078</v>
      </c>
      <c r="BA18" s="7">
        <f t="shared" si="35"/>
        <v>41.484040838206674</v>
      </c>
      <c r="BB18" s="7">
        <f t="shared" si="36"/>
        <v>41.484040838206674</v>
      </c>
      <c r="BD18" s="7">
        <f t="shared" si="37"/>
        <v>29231835.851042189</v>
      </c>
      <c r="BE18" s="7">
        <f t="shared" si="38"/>
        <v>0.62097082391581759</v>
      </c>
      <c r="BF18" s="7">
        <f t="shared" si="39"/>
        <v>2.6886243684834759E-2</v>
      </c>
      <c r="BG18" s="7">
        <f t="shared" si="40"/>
        <v>1.0100251005244532</v>
      </c>
      <c r="BH18" s="7">
        <f t="shared" si="41"/>
        <v>0.98973665961010282</v>
      </c>
      <c r="BI18" s="7">
        <f t="shared" si="42"/>
        <v>1053376.2904021577</v>
      </c>
      <c r="BJ18" s="7">
        <f t="shared" si="43"/>
        <v>1541252.0503654932</v>
      </c>
      <c r="BK18" s="7">
        <f t="shared" si="44"/>
        <v>1.5412520503654932</v>
      </c>
      <c r="BL18" s="7">
        <f t="shared" si="45"/>
        <v>17.569363575585381</v>
      </c>
      <c r="BM18" s="7">
        <f t="shared" si="46"/>
        <v>17.569363575585381</v>
      </c>
      <c r="BO18" s="7">
        <f t="shared" si="47"/>
        <v>1352867.2450340255</v>
      </c>
      <c r="BP18" s="7">
        <f t="shared" si="48"/>
        <v>1.3528672450340256</v>
      </c>
      <c r="BQ18" s="7">
        <f t="shared" si="49"/>
        <v>27.644730153349126</v>
      </c>
      <c r="BR18" s="7">
        <f t="shared" si="50"/>
        <v>27.644730153349126</v>
      </c>
      <c r="BT18" s="7">
        <f t="shared" si="51"/>
        <v>1336312.496047643</v>
      </c>
      <c r="BU18" s="7">
        <f t="shared" si="52"/>
        <v>1.3363124960476429</v>
      </c>
      <c r="BV18" s="7">
        <f t="shared" si="53"/>
        <v>28.530126214603577</v>
      </c>
      <c r="BW18" s="7">
        <f t="shared" si="54"/>
        <v>28.530126214603577</v>
      </c>
      <c r="BY18" s="7">
        <f t="shared" si="55"/>
        <v>0.256420054012437</v>
      </c>
      <c r="BZ18" s="7">
        <f t="shared" si="56"/>
        <v>1631.9081114074497</v>
      </c>
      <c r="CA18" s="7">
        <f t="shared" si="57"/>
        <v>0.30798549040038847</v>
      </c>
      <c r="CB18" s="7">
        <f t="shared" si="58"/>
        <v>0.91156973220280491</v>
      </c>
      <c r="CC18" s="7">
        <f t="shared" si="59"/>
        <v>2.7046366100460051</v>
      </c>
      <c r="CD18" s="7">
        <f t="shared" si="60"/>
        <v>8351953.1002977686</v>
      </c>
      <c r="CE18" s="7">
        <f t="shared" si="61"/>
        <v>6341866.8923053918</v>
      </c>
      <c r="CF18" s="7">
        <f t="shared" si="62"/>
        <v>6.3418668923053918</v>
      </c>
      <c r="CG18" s="7">
        <f t="shared" si="63"/>
        <v>-239.18146219347412</v>
      </c>
      <c r="CH18" s="7">
        <f t="shared" si="64"/>
        <v>239.18146219347412</v>
      </c>
      <c r="CJ18" s="7">
        <f t="shared" si="65"/>
        <v>1.5438134602341049</v>
      </c>
      <c r="CK18" s="7">
        <f t="shared" si="66"/>
        <v>7.9441638524897912E-2</v>
      </c>
      <c r="CL18" s="7">
        <f t="shared" si="67"/>
        <v>0.30064649999999998</v>
      </c>
      <c r="CM18" s="7">
        <f t="shared" si="68"/>
        <v>407.15041974718247</v>
      </c>
      <c r="CN18" s="7">
        <f t="shared" si="69"/>
        <v>123.40834867052129</v>
      </c>
      <c r="CO18" s="7">
        <f t="shared" si="70"/>
        <v>0.4901976487698898</v>
      </c>
      <c r="CP18" s="7">
        <f t="shared" si="71"/>
        <v>3.8513889394883656E-2</v>
      </c>
      <c r="CQ18" s="7">
        <f t="shared" si="72"/>
        <v>1.0385138893948838</v>
      </c>
      <c r="CR18" s="7">
        <f t="shared" si="73"/>
        <v>10.181342409254379</v>
      </c>
      <c r="CS18" s="7">
        <f t="shared" si="74"/>
        <v>11.13946635332165</v>
      </c>
      <c r="CT18" s="7">
        <f t="shared" si="75"/>
        <v>-495.77101663216376</v>
      </c>
      <c r="CU18" s="7">
        <f t="shared" si="76"/>
        <v>495.77101663216376</v>
      </c>
      <c r="CW18" s="7">
        <f t="shared" si="77"/>
        <v>1.1207936948820973</v>
      </c>
      <c r="CX18" s="7">
        <f t="shared" si="78"/>
        <v>1.226266945094179</v>
      </c>
      <c r="CY18" s="7">
        <f t="shared" si="79"/>
        <v>34.415681921483738</v>
      </c>
      <c r="CZ18" s="7">
        <f t="shared" si="80"/>
        <v>34.415681921483738</v>
      </c>
      <c r="DB18" s="7">
        <f t="shared" si="81"/>
        <v>1.1309472239426046</v>
      </c>
      <c r="DC18" s="7">
        <f t="shared" si="82"/>
        <v>1.2373759806997575</v>
      </c>
      <c r="DD18" s="7">
        <f t="shared" si="83"/>
        <v>33.821538429631019</v>
      </c>
      <c r="DE18" s="7">
        <f t="shared" si="84"/>
        <v>33.821538429631019</v>
      </c>
      <c r="DG18" s="7">
        <f t="shared" si="85"/>
        <v>8351953.1002977686</v>
      </c>
      <c r="DH18" s="7">
        <f t="shared" si="86"/>
        <v>0.125</v>
      </c>
      <c r="DI18" s="7">
        <f t="shared" si="87"/>
        <v>1043994.1375372211</v>
      </c>
      <c r="DJ18" s="7">
        <f t="shared" si="88"/>
        <v>1.043994137537221</v>
      </c>
      <c r="DK18" s="7">
        <f t="shared" si="89"/>
        <v>44.164161105159046</v>
      </c>
      <c r="DL18" s="7">
        <f t="shared" si="90"/>
        <v>44.164161105159046</v>
      </c>
    </row>
    <row r="19" spans="1:116" x14ac:dyDescent="0.3">
      <c r="A19" s="7">
        <v>18</v>
      </c>
      <c r="B19" s="8" t="s">
        <v>44</v>
      </c>
      <c r="C19" s="9">
        <v>0</v>
      </c>
      <c r="D19" s="7">
        <v>232</v>
      </c>
      <c r="E19" s="10">
        <v>200</v>
      </c>
      <c r="F19" s="9">
        <v>10</v>
      </c>
      <c r="G19" s="21">
        <f t="shared" si="25"/>
        <v>1.5915494309189535</v>
      </c>
      <c r="H19" s="7">
        <v>0.2</v>
      </c>
      <c r="I19" s="7">
        <v>233.78033749617501</v>
      </c>
      <c r="J19" s="7">
        <v>27.68834043052</v>
      </c>
      <c r="K19" s="7">
        <f t="shared" si="0"/>
        <v>0.11843742175696458</v>
      </c>
      <c r="L19" s="7">
        <f t="shared" si="26"/>
        <v>3.9999999999999998E-6</v>
      </c>
      <c r="M19" s="7">
        <f t="shared" si="1"/>
        <v>2.3687484351392911E-6</v>
      </c>
      <c r="N19" s="7">
        <f t="shared" si="2"/>
        <v>6472.9895705559529</v>
      </c>
      <c r="O19" s="7">
        <f t="shared" si="3"/>
        <v>1.5400000000000002E-5</v>
      </c>
      <c r="P19" s="7">
        <f t="shared" si="4"/>
        <v>9.9999999999999995E-8</v>
      </c>
      <c r="Q19" s="7">
        <v>0.02</v>
      </c>
      <c r="R19" s="7">
        <f t="shared" si="5"/>
        <v>1.2987012987012987E-4</v>
      </c>
      <c r="S19" s="7">
        <f t="shared" si="6"/>
        <v>7.0978241817955174</v>
      </c>
      <c r="T19" s="9">
        <f t="shared" si="7"/>
        <v>6465.8917463741573</v>
      </c>
      <c r="U19" s="11">
        <f t="shared" si="27"/>
        <v>3.2329458731870786</v>
      </c>
      <c r="V19" s="7">
        <v>22.552609987170001</v>
      </c>
      <c r="W19" s="7">
        <v>21.893053305710001</v>
      </c>
      <c r="X19" s="7">
        <f t="shared" si="8"/>
        <v>22.22283164644</v>
      </c>
      <c r="Y19" s="7">
        <v>99.4</v>
      </c>
      <c r="Z19" s="9">
        <f t="shared" si="9"/>
        <v>77.177168353560006</v>
      </c>
      <c r="AA19" s="9">
        <f t="shared" si="10"/>
        <v>7.185543367071201E-2</v>
      </c>
      <c r="AB19" s="9">
        <f t="shared" si="11"/>
        <v>997.74725838175789</v>
      </c>
      <c r="AC19" s="12">
        <v>0.99839999999999995</v>
      </c>
      <c r="AD19" s="12">
        <f t="shared" si="12"/>
        <v>2258180.3232856165</v>
      </c>
      <c r="AE19" s="12">
        <f t="shared" si="13"/>
        <v>0.59000762111999994</v>
      </c>
      <c r="AF19" s="12">
        <v>9.81</v>
      </c>
      <c r="AG19" s="7">
        <f t="shared" si="14"/>
        <v>3232945.8731870786</v>
      </c>
      <c r="AH19" s="7">
        <f t="shared" si="15"/>
        <v>3.2329458731870786</v>
      </c>
      <c r="AI19" s="7">
        <f t="shared" si="16"/>
        <v>2.6457513110645908E-2</v>
      </c>
      <c r="AJ19" s="7">
        <f t="shared" si="17"/>
        <v>1.4143549766589715E-2</v>
      </c>
      <c r="AK19" s="7">
        <f t="shared" si="18"/>
        <v>3.0000666659259424E-2</v>
      </c>
      <c r="AL19" s="7">
        <f t="shared" si="28"/>
        <v>4.2028296351432024</v>
      </c>
      <c r="AM19" s="7">
        <f t="shared" si="29"/>
        <v>2.2630621112309548</v>
      </c>
      <c r="AN19" s="7">
        <f t="shared" si="30"/>
        <v>3.2329458731870786</v>
      </c>
      <c r="AO19" s="9">
        <f t="shared" si="19"/>
        <v>4183.0300248697486</v>
      </c>
      <c r="AP19" s="9">
        <f t="shared" si="20"/>
        <v>0.60285168715830784</v>
      </c>
      <c r="AQ19" s="9">
        <f t="shared" si="21"/>
        <v>20</v>
      </c>
      <c r="AR19" s="9">
        <f t="shared" si="22"/>
        <v>9.033236739929072E-4</v>
      </c>
      <c r="AS19" s="12">
        <f t="shared" si="23"/>
        <v>1.2798654923651744E-5</v>
      </c>
      <c r="AT19" s="9">
        <f t="shared" si="24"/>
        <v>0.1595423947577122</v>
      </c>
      <c r="AU19" s="9">
        <f t="shared" si="31"/>
        <v>0.14296219355398948</v>
      </c>
      <c r="AV19" s="9">
        <f t="shared" si="32"/>
        <v>3.6896614784506236</v>
      </c>
      <c r="AY19" s="7">
        <f t="shared" si="33"/>
        <v>1169989.0405538427</v>
      </c>
      <c r="AZ19" s="7">
        <f t="shared" si="34"/>
        <v>1.1699890405538427</v>
      </c>
      <c r="BA19" s="7">
        <f t="shared" si="35"/>
        <v>63.810435236255508</v>
      </c>
      <c r="BB19" s="7">
        <f t="shared" si="36"/>
        <v>63.810435236255508</v>
      </c>
      <c r="BD19" s="7">
        <f t="shared" si="37"/>
        <v>31259249.175102666</v>
      </c>
      <c r="BE19" s="7">
        <f t="shared" si="38"/>
        <v>0.21060292673573613</v>
      </c>
      <c r="BF19" s="7">
        <f t="shared" si="39"/>
        <v>6.9516542402552034E-2</v>
      </c>
      <c r="BG19" s="7">
        <f t="shared" si="40"/>
        <v>1.3063625758937474</v>
      </c>
      <c r="BH19" s="7">
        <f t="shared" si="41"/>
        <v>1.0683281572999748</v>
      </c>
      <c r="BI19" s="7">
        <f t="shared" si="42"/>
        <v>4422949.6403417522</v>
      </c>
      <c r="BJ19" s="7">
        <f t="shared" si="43"/>
        <v>5061653.4596892511</v>
      </c>
      <c r="BK19" s="7">
        <f t="shared" si="44"/>
        <v>5.0616534596892508</v>
      </c>
      <c r="BL19" s="7">
        <f t="shared" si="45"/>
        <v>-56.564744917903909</v>
      </c>
      <c r="BM19" s="7">
        <f t="shared" si="46"/>
        <v>56.564744917903909</v>
      </c>
      <c r="BO19" s="7">
        <f t="shared" si="47"/>
        <v>1382105.2109727315</v>
      </c>
      <c r="BP19" s="7">
        <f t="shared" si="48"/>
        <v>1.3821052109727314</v>
      </c>
      <c r="BQ19" s="7">
        <f t="shared" si="49"/>
        <v>57.249355071625899</v>
      </c>
      <c r="BR19" s="7">
        <f t="shared" si="50"/>
        <v>57.249355071625899</v>
      </c>
      <c r="BT19" s="7">
        <f t="shared" si="51"/>
        <v>1428994.2480046933</v>
      </c>
      <c r="BU19" s="7">
        <f t="shared" si="52"/>
        <v>1.4289942480046933</v>
      </c>
      <c r="BV19" s="7">
        <f t="shared" si="53"/>
        <v>55.799004868709019</v>
      </c>
      <c r="BW19" s="7">
        <f t="shared" si="54"/>
        <v>55.799004868709019</v>
      </c>
      <c r="BY19" s="7">
        <f t="shared" si="55"/>
        <v>0.25825303343831124</v>
      </c>
      <c r="BZ19" s="7">
        <f t="shared" si="56"/>
        <v>1691.0752042283009</v>
      </c>
      <c r="CA19" s="7">
        <f t="shared" si="57"/>
        <v>0.30935964405387611</v>
      </c>
      <c r="CB19" s="7">
        <f t="shared" si="58"/>
        <v>0.91086692176558659</v>
      </c>
      <c r="CC19" s="7">
        <f t="shared" si="59"/>
        <v>2.7167016975623284</v>
      </c>
      <c r="CD19" s="7">
        <f t="shared" si="60"/>
        <v>8931214.0500293337</v>
      </c>
      <c r="CE19" s="7">
        <f t="shared" si="61"/>
        <v>6837085.9957816293</v>
      </c>
      <c r="CF19" s="7">
        <f t="shared" si="62"/>
        <v>6.8370859957816297</v>
      </c>
      <c r="CG19" s="7">
        <f t="shared" si="63"/>
        <v>-111.4816103939762</v>
      </c>
      <c r="CH19" s="7">
        <f t="shared" si="64"/>
        <v>111.4816103939762</v>
      </c>
      <c r="CJ19" s="7">
        <f t="shared" si="65"/>
        <v>1.5438134602341049</v>
      </c>
      <c r="CK19" s="7">
        <f t="shared" si="66"/>
        <v>7.9441638524897912E-2</v>
      </c>
      <c r="CL19" s="7">
        <f t="shared" si="67"/>
        <v>0.29838599999999998</v>
      </c>
      <c r="CM19" s="7">
        <f t="shared" si="68"/>
        <v>368.96614784506232</v>
      </c>
      <c r="CN19" s="7">
        <f t="shared" si="69"/>
        <v>111.09433299089676</v>
      </c>
      <c r="CO19" s="7">
        <f t="shared" si="70"/>
        <v>0.48848873647302476</v>
      </c>
      <c r="CP19" s="7">
        <f t="shared" si="71"/>
        <v>1.1310053236078932</v>
      </c>
      <c r="CQ19" s="7">
        <f t="shared" si="72"/>
        <v>2.1310053236078934</v>
      </c>
      <c r="CR19" s="7">
        <f t="shared" si="73"/>
        <v>18.807221246355926</v>
      </c>
      <c r="CS19" s="7">
        <f t="shared" si="74"/>
        <v>22.004242741507817</v>
      </c>
      <c r="CT19" s="7">
        <f t="shared" si="75"/>
        <v>-580.62515132106932</v>
      </c>
      <c r="CU19" s="7">
        <f t="shared" si="76"/>
        <v>580.62515132106932</v>
      </c>
      <c r="CW19" s="7">
        <f t="shared" si="77"/>
        <v>4.5535701827458972</v>
      </c>
      <c r="CX19" s="7">
        <f t="shared" si="78"/>
        <v>5.327627209205458</v>
      </c>
      <c r="CY19" s="7">
        <f t="shared" si="79"/>
        <v>-64.791723034738482</v>
      </c>
      <c r="CZ19" s="7">
        <f t="shared" si="80"/>
        <v>64.791723034738482</v>
      </c>
      <c r="DB19" s="7">
        <f t="shared" si="81"/>
        <v>4.8454181002668388</v>
      </c>
      <c r="DC19" s="7">
        <f t="shared" si="82"/>
        <v>5.6690860742134221</v>
      </c>
      <c r="DD19" s="7">
        <f t="shared" si="83"/>
        <v>-75.353572147026568</v>
      </c>
      <c r="DE19" s="7">
        <f t="shared" si="84"/>
        <v>75.353572147026568</v>
      </c>
      <c r="DG19" s="7">
        <f t="shared" si="85"/>
        <v>8931214.0500293337</v>
      </c>
      <c r="DH19" s="7">
        <f t="shared" si="86"/>
        <v>0.17230060940112779</v>
      </c>
      <c r="DI19" s="7">
        <f t="shared" si="87"/>
        <v>1538853.6235119689</v>
      </c>
      <c r="DJ19" s="7">
        <f t="shared" si="88"/>
        <v>1.538853623511969</v>
      </c>
      <c r="DK19" s="7">
        <f t="shared" si="89"/>
        <v>52.400885017139252</v>
      </c>
      <c r="DL19" s="7">
        <f t="shared" si="90"/>
        <v>52.400885017139252</v>
      </c>
    </row>
    <row r="20" spans="1:116" x14ac:dyDescent="0.3">
      <c r="A20" s="7">
        <v>19</v>
      </c>
      <c r="B20" s="8" t="s">
        <v>45</v>
      </c>
      <c r="C20" s="9">
        <v>180</v>
      </c>
      <c r="D20" s="7">
        <v>232</v>
      </c>
      <c r="E20" s="10">
        <v>200</v>
      </c>
      <c r="F20" s="9">
        <v>10</v>
      </c>
      <c r="G20" s="21">
        <f t="shared" si="25"/>
        <v>1.5915494309189535</v>
      </c>
      <c r="H20" s="7">
        <v>0.2</v>
      </c>
      <c r="I20" s="7">
        <v>225.11190048060701</v>
      </c>
      <c r="J20" s="7">
        <v>21.600479966809999</v>
      </c>
      <c r="K20" s="7">
        <f t="shared" si="0"/>
        <v>9.5954411653464952E-2</v>
      </c>
      <c r="L20" s="7">
        <f t="shared" si="26"/>
        <v>3.9999999999999998E-6</v>
      </c>
      <c r="M20" s="7">
        <f t="shared" si="1"/>
        <v>1.9190882330692987E-6</v>
      </c>
      <c r="N20" s="7">
        <f t="shared" si="2"/>
        <v>4862.5250966218782</v>
      </c>
      <c r="O20" s="7">
        <f t="shared" si="3"/>
        <v>1.5400000000000002E-5</v>
      </c>
      <c r="P20" s="7">
        <f t="shared" si="4"/>
        <v>9.9999999999999995E-8</v>
      </c>
      <c r="Q20" s="7">
        <v>0.02</v>
      </c>
      <c r="R20" s="7">
        <f t="shared" si="5"/>
        <v>1.2987012987012987E-4</v>
      </c>
      <c r="S20" s="7">
        <f t="shared" si="6"/>
        <v>6.5812165893494425</v>
      </c>
      <c r="T20" s="9">
        <f t="shared" si="7"/>
        <v>4855.9438800325288</v>
      </c>
      <c r="U20" s="11">
        <f t="shared" si="27"/>
        <v>2.4279719400162643</v>
      </c>
      <c r="V20" s="7">
        <v>24.829180125890002</v>
      </c>
      <c r="W20" s="7">
        <v>23.959236472010002</v>
      </c>
      <c r="X20" s="7">
        <f t="shared" si="8"/>
        <v>24.394208298950002</v>
      </c>
      <c r="Y20" s="7">
        <v>99.4</v>
      </c>
      <c r="Z20" s="9">
        <f t="shared" si="9"/>
        <v>75.005791701050001</v>
      </c>
      <c r="AA20" s="9">
        <f t="shared" si="10"/>
        <v>7.1421158340210011E-2</v>
      </c>
      <c r="AB20" s="9">
        <f t="shared" si="11"/>
        <v>997.20213184155909</v>
      </c>
      <c r="AC20" s="12">
        <v>0.99839999999999995</v>
      </c>
      <c r="AD20" s="12">
        <f t="shared" si="12"/>
        <v>2258180.3232856165</v>
      </c>
      <c r="AE20" s="12">
        <f t="shared" si="13"/>
        <v>0.59000762111999994</v>
      </c>
      <c r="AF20" s="12">
        <v>9.81</v>
      </c>
      <c r="AG20" s="7">
        <f t="shared" si="14"/>
        <v>2427971.9400162641</v>
      </c>
      <c r="AH20" s="7">
        <f t="shared" si="15"/>
        <v>2.4279719400162643</v>
      </c>
      <c r="AI20" s="7">
        <f t="shared" si="16"/>
        <v>2.6457513110645908E-2</v>
      </c>
      <c r="AJ20" s="7">
        <f t="shared" si="17"/>
        <v>1.4143549766589715E-2</v>
      </c>
      <c r="AK20" s="7">
        <f t="shared" si="18"/>
        <v>3.0000666659259424E-2</v>
      </c>
      <c r="AL20" s="7">
        <f t="shared" si="28"/>
        <v>3.1563635220211435</v>
      </c>
      <c r="AM20" s="7">
        <f t="shared" si="29"/>
        <v>1.6995803580113849</v>
      </c>
      <c r="AN20" s="7">
        <f t="shared" si="30"/>
        <v>2.4279719400162643</v>
      </c>
      <c r="AO20" s="9">
        <f t="shared" si="19"/>
        <v>4182.1067145528132</v>
      </c>
      <c r="AP20" s="9">
        <f t="shared" si="20"/>
        <v>0.60661648427236436</v>
      </c>
      <c r="AQ20" s="9">
        <f t="shared" si="21"/>
        <v>20</v>
      </c>
      <c r="AR20" s="9">
        <f t="shared" si="22"/>
        <v>8.6933193113377283E-4</v>
      </c>
      <c r="AS20" s="12">
        <f t="shared" si="23"/>
        <v>1.2798654923651744E-5</v>
      </c>
      <c r="AT20" s="9">
        <f t="shared" si="24"/>
        <v>0.16685278706022197</v>
      </c>
      <c r="AU20" s="9">
        <f t="shared" si="31"/>
        <v>0.13890928986880385</v>
      </c>
      <c r="AV20" s="9">
        <f t="shared" si="32"/>
        <v>3.6998502120389474</v>
      </c>
      <c r="AY20" s="7">
        <f t="shared" si="33"/>
        <v>1168057.5502446953</v>
      </c>
      <c r="AZ20" s="7">
        <f t="shared" si="34"/>
        <v>1.1680575502446953</v>
      </c>
      <c r="BA20" s="7">
        <f t="shared" si="35"/>
        <v>51.89163717283855</v>
      </c>
      <c r="BB20" s="7">
        <f t="shared" si="36"/>
        <v>51.89163717283855</v>
      </c>
      <c r="BD20" s="7">
        <f t="shared" si="37"/>
        <v>31207644.472186513</v>
      </c>
      <c r="BE20" s="7">
        <f t="shared" si="38"/>
        <v>0.21060292673573613</v>
      </c>
      <c r="BF20" s="7">
        <f t="shared" si="39"/>
        <v>6.9286882184799337E-2</v>
      </c>
      <c r="BG20" s="7">
        <f t="shared" si="40"/>
        <v>1.297114370549463</v>
      </c>
      <c r="BH20" s="7">
        <f t="shared" si="41"/>
        <v>0.8</v>
      </c>
      <c r="BI20" s="7">
        <f t="shared" si="42"/>
        <v>4240395.8029336846</v>
      </c>
      <c r="BJ20" s="7">
        <f t="shared" si="43"/>
        <v>4712942.4314135108</v>
      </c>
      <c r="BK20" s="7">
        <f t="shared" si="44"/>
        <v>4.7129424314135111</v>
      </c>
      <c r="BL20" s="7">
        <f t="shared" si="45"/>
        <v>-94.110251182801576</v>
      </c>
      <c r="BM20" s="7">
        <f t="shared" si="46"/>
        <v>94.110251182801576</v>
      </c>
      <c r="BO20" s="7">
        <f t="shared" si="47"/>
        <v>1381651.8193164638</v>
      </c>
      <c r="BP20" s="7">
        <f t="shared" si="48"/>
        <v>1.3816518193164637</v>
      </c>
      <c r="BQ20" s="7">
        <f t="shared" si="49"/>
        <v>43.094407454016604</v>
      </c>
      <c r="BR20" s="7">
        <f t="shared" si="50"/>
        <v>43.094407454016604</v>
      </c>
      <c r="BT20" s="7">
        <f t="shared" si="51"/>
        <v>1426635.1758713836</v>
      </c>
      <c r="BU20" s="7">
        <f t="shared" si="52"/>
        <v>1.4266351758713836</v>
      </c>
      <c r="BV20" s="7">
        <f t="shared" si="53"/>
        <v>41.241694256902036</v>
      </c>
      <c r="BW20" s="7">
        <f t="shared" si="54"/>
        <v>41.241694256902036</v>
      </c>
      <c r="BY20" s="7">
        <f t="shared" si="55"/>
        <v>0.25822480758088645</v>
      </c>
      <c r="BZ20" s="7">
        <f t="shared" si="56"/>
        <v>1690.1512728743905</v>
      </c>
      <c r="CA20" s="7">
        <f t="shared" si="57"/>
        <v>0.30933851138787849</v>
      </c>
      <c r="CB20" s="7">
        <f t="shared" si="58"/>
        <v>0.91087775331627274</v>
      </c>
      <c r="CC20" s="7">
        <f t="shared" si="59"/>
        <v>2.7165161519280026</v>
      </c>
      <c r="CD20" s="7">
        <f t="shared" si="60"/>
        <v>8916469.8491961472</v>
      </c>
      <c r="CE20" s="7">
        <f t="shared" si="61"/>
        <v>6824947.6342917206</v>
      </c>
      <c r="CF20" s="7">
        <f t="shared" si="62"/>
        <v>6.8249476342917204</v>
      </c>
      <c r="CG20" s="7">
        <f t="shared" si="63"/>
        <v>-181.09664373823043</v>
      </c>
      <c r="CH20" s="7">
        <f t="shared" si="64"/>
        <v>181.09664373823043</v>
      </c>
      <c r="CJ20" s="7">
        <f t="shared" si="65"/>
        <v>1.5438134602341049</v>
      </c>
      <c r="CK20" s="7">
        <f t="shared" si="66"/>
        <v>7.9441638524897912E-2</v>
      </c>
      <c r="CL20" s="7">
        <f t="shared" si="67"/>
        <v>0.29838599999999998</v>
      </c>
      <c r="CM20" s="7">
        <f t="shared" si="68"/>
        <v>369.98502120389469</v>
      </c>
      <c r="CN20" s="7">
        <f t="shared" si="69"/>
        <v>111.39835053694532</v>
      </c>
      <c r="CO20" s="7">
        <f t="shared" si="70"/>
        <v>0.48818077696656165</v>
      </c>
      <c r="CP20" s="7">
        <f t="shared" si="71"/>
        <v>1.09849157008832</v>
      </c>
      <c r="CQ20" s="7">
        <f t="shared" si="72"/>
        <v>2.0984915700883198</v>
      </c>
      <c r="CR20" s="7">
        <f t="shared" si="73"/>
        <v>18.570952637655516</v>
      </c>
      <c r="CS20" s="7">
        <f t="shared" si="74"/>
        <v>21.691941443650165</v>
      </c>
      <c r="CT20" s="7">
        <f t="shared" si="75"/>
        <v>-793.41812753836268</v>
      </c>
      <c r="CU20" s="7">
        <f t="shared" si="76"/>
        <v>793.41812753836268</v>
      </c>
      <c r="CW20" s="7">
        <f t="shared" si="77"/>
        <v>4.451319054985337</v>
      </c>
      <c r="CX20" s="7">
        <f t="shared" si="78"/>
        <v>5.1993968307237051</v>
      </c>
      <c r="CY20" s="7">
        <f t="shared" si="79"/>
        <v>-114.14567215669206</v>
      </c>
      <c r="CZ20" s="7">
        <f t="shared" si="80"/>
        <v>114.14567215669206</v>
      </c>
      <c r="DB20" s="7">
        <f t="shared" si="81"/>
        <v>4.7348713383002883</v>
      </c>
      <c r="DC20" s="7">
        <f t="shared" si="82"/>
        <v>5.5306022161388562</v>
      </c>
      <c r="DD20" s="7">
        <f t="shared" si="83"/>
        <v>-127.78690828287777</v>
      </c>
      <c r="DE20" s="7">
        <f t="shared" si="84"/>
        <v>127.78690828287777</v>
      </c>
      <c r="DG20" s="7">
        <f t="shared" si="85"/>
        <v>8916469.8491961472</v>
      </c>
      <c r="DH20" s="7">
        <f t="shared" si="86"/>
        <v>3.952847075210475E-2</v>
      </c>
      <c r="DI20" s="7">
        <f t="shared" si="87"/>
        <v>352454.41764597374</v>
      </c>
      <c r="DJ20" s="7">
        <f t="shared" si="88"/>
        <v>0.35245441764597374</v>
      </c>
      <c r="DK20" s="7">
        <f t="shared" si="89"/>
        <v>85.483587687442025</v>
      </c>
      <c r="DL20" s="7">
        <f t="shared" si="90"/>
        <v>85.483587687442025</v>
      </c>
    </row>
    <row r="21" spans="1:116" x14ac:dyDescent="0.3">
      <c r="A21" s="7">
        <v>20</v>
      </c>
      <c r="B21" s="8" t="s">
        <v>46</v>
      </c>
      <c r="C21" s="9">
        <v>90</v>
      </c>
      <c r="D21" s="7">
        <v>231</v>
      </c>
      <c r="E21" s="10">
        <v>200</v>
      </c>
      <c r="F21" s="9">
        <v>10</v>
      </c>
      <c r="G21" s="21">
        <f t="shared" si="25"/>
        <v>1.5915494309189535</v>
      </c>
      <c r="H21" s="7">
        <v>0.2</v>
      </c>
      <c r="I21" s="7">
        <v>282.93921642941899</v>
      </c>
      <c r="J21" s="7">
        <v>27.670273722449998</v>
      </c>
      <c r="K21" s="7">
        <f t="shared" si="0"/>
        <v>9.7795823681276525E-2</v>
      </c>
      <c r="L21" s="7">
        <f t="shared" si="26"/>
        <v>3.9999999999999998E-6</v>
      </c>
      <c r="M21" s="7">
        <f t="shared" si="1"/>
        <v>1.9559164736255302E-6</v>
      </c>
      <c r="N21" s="7">
        <f t="shared" si="2"/>
        <v>7829.0055654175449</v>
      </c>
      <c r="O21" s="7">
        <f t="shared" si="3"/>
        <v>1.5400000000000002E-5</v>
      </c>
      <c r="P21" s="7">
        <f t="shared" si="4"/>
        <v>9.9999999999999995E-8</v>
      </c>
      <c r="Q21" s="7">
        <v>0.02</v>
      </c>
      <c r="R21" s="7">
        <f t="shared" si="5"/>
        <v>1.2987012987012987E-4</v>
      </c>
      <c r="S21" s="7">
        <f t="shared" si="6"/>
        <v>10.396701323856313</v>
      </c>
      <c r="T21" s="9">
        <f t="shared" si="7"/>
        <v>7818.6088640936887</v>
      </c>
      <c r="U21" s="11">
        <f t="shared" si="27"/>
        <v>3.9093044320468442</v>
      </c>
      <c r="V21" s="7">
        <v>28.208643083399998</v>
      </c>
      <c r="W21" s="7">
        <v>28.569937491440001</v>
      </c>
      <c r="X21" s="7">
        <f t="shared" si="8"/>
        <v>28.38929028742</v>
      </c>
      <c r="Y21" s="7">
        <v>99.4</v>
      </c>
      <c r="Z21" s="9">
        <f t="shared" si="9"/>
        <v>71.01070971258001</v>
      </c>
      <c r="AA21" s="9">
        <f t="shared" si="10"/>
        <v>7.0622141942516009E-2</v>
      </c>
      <c r="AB21" s="9">
        <f t="shared" si="11"/>
        <v>996.12525551096871</v>
      </c>
      <c r="AC21" s="12">
        <v>0.99839999999999995</v>
      </c>
      <c r="AD21" s="12">
        <f t="shared" si="12"/>
        <v>2258180.3232856165</v>
      </c>
      <c r="AE21" s="12">
        <f t="shared" si="13"/>
        <v>0.59000762111999994</v>
      </c>
      <c r="AF21" s="12">
        <v>9.81</v>
      </c>
      <c r="AG21" s="7">
        <f t="shared" si="14"/>
        <v>3909304.4320468442</v>
      </c>
      <c r="AH21" s="7">
        <f t="shared" si="15"/>
        <v>3.9093044320468442</v>
      </c>
      <c r="AI21" s="7">
        <f t="shared" si="16"/>
        <v>2.6457513110645908E-2</v>
      </c>
      <c r="AJ21" s="7">
        <f t="shared" si="17"/>
        <v>1.4143549766589715E-2</v>
      </c>
      <c r="AK21" s="7">
        <f t="shared" si="18"/>
        <v>3.0000666659259424E-2</v>
      </c>
      <c r="AL21" s="7">
        <f t="shared" si="28"/>
        <v>5.0820957616608977</v>
      </c>
      <c r="AM21" s="7">
        <f t="shared" si="29"/>
        <v>2.7365131024327907</v>
      </c>
      <c r="AN21" s="7">
        <f t="shared" si="30"/>
        <v>3.9093044320468442</v>
      </c>
      <c r="AO21" s="9">
        <f t="shared" si="19"/>
        <v>4181.1944591972861</v>
      </c>
      <c r="AP21" s="9">
        <f t="shared" si="20"/>
        <v>0.61329692060208996</v>
      </c>
      <c r="AQ21" s="9">
        <f t="shared" si="21"/>
        <v>20</v>
      </c>
      <c r="AR21" s="9">
        <f t="shared" si="22"/>
        <v>8.0900825006681887E-4</v>
      </c>
      <c r="AS21" s="12">
        <f t="shared" si="23"/>
        <v>1.2798654923651744E-5</v>
      </c>
      <c r="AT21" s="9">
        <f t="shared" si="24"/>
        <v>0.18130820880460652</v>
      </c>
      <c r="AU21" s="9">
        <f t="shared" si="31"/>
        <v>0.13148178776170882</v>
      </c>
      <c r="AV21" s="9">
        <f t="shared" si="32"/>
        <v>3.7187105990897327</v>
      </c>
      <c r="AY21" s="7">
        <f t="shared" si="33"/>
        <v>1164462.1019220091</v>
      </c>
      <c r="AZ21" s="7">
        <f t="shared" si="34"/>
        <v>1.1644621019220092</v>
      </c>
      <c r="BA21" s="7">
        <f t="shared" si="35"/>
        <v>70.213061628656106</v>
      </c>
      <c r="BB21" s="7">
        <f t="shared" si="36"/>
        <v>70.213061628656106</v>
      </c>
      <c r="BD21" s="7">
        <f t="shared" si="37"/>
        <v>31111582.875778869</v>
      </c>
      <c r="BE21" s="7">
        <f t="shared" si="38"/>
        <v>0.21060292673573613</v>
      </c>
      <c r="BF21" s="7">
        <f t="shared" si="39"/>
        <v>6.8865409079999398E-2</v>
      </c>
      <c r="BG21" s="7">
        <f t="shared" si="40"/>
        <v>1.2802510360364325</v>
      </c>
      <c r="BH21" s="7">
        <f t="shared" si="41"/>
        <v>0.98973665961010282</v>
      </c>
      <c r="BI21" s="7">
        <f t="shared" si="42"/>
        <v>3925173.6516793217</v>
      </c>
      <c r="BJ21" s="7">
        <f t="shared" si="43"/>
        <v>4496918.7289758706</v>
      </c>
      <c r="BK21" s="7">
        <f t="shared" si="44"/>
        <v>4.4969187289758707</v>
      </c>
      <c r="BL21" s="7">
        <f t="shared" si="45"/>
        <v>-15.031172607382787</v>
      </c>
      <c r="BM21" s="7">
        <f t="shared" si="46"/>
        <v>15.031172607382787</v>
      </c>
      <c r="BO21" s="7">
        <f t="shared" si="47"/>
        <v>1380755.870045882</v>
      </c>
      <c r="BP21" s="7">
        <f t="shared" si="48"/>
        <v>1.380755870045882</v>
      </c>
      <c r="BQ21" s="7">
        <f t="shared" si="49"/>
        <v>64.680267447911646</v>
      </c>
      <c r="BR21" s="7">
        <f t="shared" si="50"/>
        <v>64.680267447911646</v>
      </c>
      <c r="BT21" s="7">
        <f t="shared" si="51"/>
        <v>1422243.7886070341</v>
      </c>
      <c r="BU21" s="7">
        <f t="shared" si="52"/>
        <v>1.422243788607034</v>
      </c>
      <c r="BV21" s="7">
        <f t="shared" si="53"/>
        <v>63.619006569350972</v>
      </c>
      <c r="BW21" s="7">
        <f t="shared" si="54"/>
        <v>63.619006569350972</v>
      </c>
      <c r="BY21" s="7">
        <f t="shared" si="55"/>
        <v>0.2581690121970226</v>
      </c>
      <c r="BZ21" s="7">
        <f t="shared" si="56"/>
        <v>1688.3260823310106</v>
      </c>
      <c r="CA21" s="7">
        <f t="shared" si="57"/>
        <v>0.30929673490136</v>
      </c>
      <c r="CB21" s="7">
        <f t="shared" si="58"/>
        <v>0.91089916371981317</v>
      </c>
      <c r="CC21" s="7">
        <f t="shared" si="59"/>
        <v>2.7161493527910689</v>
      </c>
      <c r="CD21" s="7">
        <f t="shared" si="60"/>
        <v>8889023.678793963</v>
      </c>
      <c r="CE21" s="7">
        <f t="shared" si="61"/>
        <v>6802261.8928933777</v>
      </c>
      <c r="CF21" s="7">
        <f t="shared" si="62"/>
        <v>6.8022618928933776</v>
      </c>
      <c r="CG21" s="7">
        <f t="shared" si="63"/>
        <v>-74.001846393217093</v>
      </c>
      <c r="CH21" s="7">
        <f t="shared" si="64"/>
        <v>74.001846393217093</v>
      </c>
      <c r="CJ21" s="7">
        <f t="shared" si="65"/>
        <v>1.5438134602341049</v>
      </c>
      <c r="CK21" s="7">
        <f t="shared" si="66"/>
        <v>7.9441638524897912E-2</v>
      </c>
      <c r="CL21" s="7">
        <f t="shared" si="67"/>
        <v>0.29838599999999998</v>
      </c>
      <c r="CM21" s="7">
        <f t="shared" si="68"/>
        <v>371.87105990897328</v>
      </c>
      <c r="CN21" s="7">
        <f t="shared" si="69"/>
        <v>111.96111808199889</v>
      </c>
      <c r="CO21" s="7">
        <f t="shared" si="70"/>
        <v>0.48767893251757832</v>
      </c>
      <c r="CP21" s="7">
        <f t="shared" si="71"/>
        <v>1.0389128132983996</v>
      </c>
      <c r="CQ21" s="7">
        <f t="shared" si="72"/>
        <v>2.0389128132983996</v>
      </c>
      <c r="CR21" s="7">
        <f t="shared" si="73"/>
        <v>18.134854484025755</v>
      </c>
      <c r="CS21" s="7">
        <f t="shared" si="74"/>
        <v>21.117350770518403</v>
      </c>
      <c r="CT21" s="7">
        <f t="shared" si="75"/>
        <v>-440.18179288896471</v>
      </c>
      <c r="CU21" s="7">
        <f t="shared" si="76"/>
        <v>440.18179288896471</v>
      </c>
      <c r="CW21" s="7">
        <f t="shared" si="77"/>
        <v>4.2639539365898074</v>
      </c>
      <c r="CX21" s="7">
        <f t="shared" si="78"/>
        <v>4.9652127634999923</v>
      </c>
      <c r="CY21" s="7">
        <f t="shared" si="79"/>
        <v>-27.010133127449802</v>
      </c>
      <c r="CZ21" s="7">
        <f t="shared" si="80"/>
        <v>27.010133127449802</v>
      </c>
      <c r="DB21" s="7">
        <f t="shared" si="81"/>
        <v>4.5323035652145567</v>
      </c>
      <c r="DC21" s="7">
        <f t="shared" si="82"/>
        <v>5.2776957360983587</v>
      </c>
      <c r="DD21" s="7">
        <f t="shared" si="83"/>
        <v>-35.00344697726824</v>
      </c>
      <c r="DE21" s="7">
        <f t="shared" si="84"/>
        <v>35.00344697726824</v>
      </c>
      <c r="DG21" s="7">
        <f t="shared" si="85"/>
        <v>8889023.678793963</v>
      </c>
      <c r="DH21" s="7">
        <f t="shared" si="86"/>
        <v>0.125</v>
      </c>
      <c r="DI21" s="7">
        <f t="shared" si="87"/>
        <v>1111127.9598492454</v>
      </c>
      <c r="DJ21" s="7">
        <f t="shared" si="88"/>
        <v>1.1111279598492454</v>
      </c>
      <c r="DK21" s="7">
        <f t="shared" si="89"/>
        <v>71.577348882305444</v>
      </c>
      <c r="DL21" s="7">
        <f t="shared" si="90"/>
        <v>71.577348882305444</v>
      </c>
    </row>
    <row r="22" spans="1:116" s="14" customFormat="1" x14ac:dyDescent="0.3">
      <c r="A22" s="7">
        <v>21</v>
      </c>
      <c r="B22" s="14" t="s">
        <v>45</v>
      </c>
      <c r="C22" s="9">
        <v>180</v>
      </c>
      <c r="D22" s="14">
        <v>232</v>
      </c>
      <c r="E22" s="15">
        <v>200</v>
      </c>
      <c r="F22" s="9">
        <v>20</v>
      </c>
      <c r="G22" s="21">
        <f t="shared" si="25"/>
        <v>3.183098861837907</v>
      </c>
      <c r="H22" s="14">
        <v>0.2</v>
      </c>
      <c r="I22" s="14">
        <v>401.57978042840699</v>
      </c>
      <c r="J22" s="14">
        <v>19.857827444400002</v>
      </c>
      <c r="K22" s="14">
        <f>J22/I22</f>
        <v>4.9449271134158167E-2</v>
      </c>
      <c r="L22" s="14">
        <f t="shared" si="26"/>
        <v>7.9999999999999996E-6</v>
      </c>
      <c r="M22" s="14">
        <f>K22*L22/(E24/1000)</f>
        <v>1.9779708453663265E-6</v>
      </c>
      <c r="N22" s="14">
        <f>I22*J22</f>
        <v>7974.5019849073469</v>
      </c>
      <c r="O22" s="14">
        <f t="shared" si="3"/>
        <v>1.5400000000000002E-5</v>
      </c>
      <c r="P22" s="14">
        <f t="shared" si="4"/>
        <v>9.9999999999999995E-8</v>
      </c>
      <c r="Q22" s="14">
        <v>0.02</v>
      </c>
      <c r="R22" s="14">
        <f t="shared" si="5"/>
        <v>1.2987012987012987E-4</v>
      </c>
      <c r="S22" s="14">
        <f t="shared" si="6"/>
        <v>20.943677928432152</v>
      </c>
      <c r="T22" s="9">
        <f t="shared" si="7"/>
        <v>7953.5583069789145</v>
      </c>
      <c r="U22" s="15">
        <f t="shared" si="27"/>
        <v>1.9883895767447286</v>
      </c>
      <c r="V22" s="14">
        <v>21.146608957910001</v>
      </c>
      <c r="W22" s="14">
        <v>21.83005863819</v>
      </c>
      <c r="X22" s="14">
        <f t="shared" si="8"/>
        <v>21.48833379805</v>
      </c>
      <c r="Y22" s="14">
        <v>99.4</v>
      </c>
      <c r="Z22" s="9">
        <f t="shared" si="9"/>
        <v>77.911666201949998</v>
      </c>
      <c r="AA22" s="9">
        <f t="shared" si="10"/>
        <v>7.2002333240390001E-2</v>
      </c>
      <c r="AB22" s="9">
        <f t="shared" si="11"/>
        <v>997.92525181340761</v>
      </c>
      <c r="AC22" s="12">
        <v>0.99839999999999995</v>
      </c>
      <c r="AD22" s="12">
        <f t="shared" si="12"/>
        <v>2258180.3232856165</v>
      </c>
      <c r="AE22" s="12">
        <f t="shared" si="13"/>
        <v>0.59000762111999994</v>
      </c>
      <c r="AF22" s="12">
        <v>9.81</v>
      </c>
      <c r="AG22" s="14">
        <f t="shared" si="14"/>
        <v>1988389.5767447285</v>
      </c>
      <c r="AH22" s="14">
        <f t="shared" si="15"/>
        <v>1.9883895767447284</v>
      </c>
      <c r="AI22" s="14">
        <f t="shared" si="16"/>
        <v>2.6457513110645908E-2</v>
      </c>
      <c r="AJ22" s="14">
        <f t="shared" si="17"/>
        <v>1.4143549766589715E-2</v>
      </c>
      <c r="AK22" s="14">
        <f t="shared" si="18"/>
        <v>3.0000666659259424E-2</v>
      </c>
      <c r="AL22" s="14">
        <f t="shared" si="28"/>
        <v>2.5849064497681469</v>
      </c>
      <c r="AM22" s="14">
        <f t="shared" si="29"/>
        <v>1.3918727037213099</v>
      </c>
      <c r="AN22" s="14">
        <f t="shared" si="30"/>
        <v>1.9883895767447284</v>
      </c>
      <c r="AO22" s="9">
        <f t="shared" si="19"/>
        <v>4183.4155675378624</v>
      </c>
      <c r="AP22" s="9">
        <f t="shared" si="20"/>
        <v>0.60155684946154575</v>
      </c>
      <c r="AQ22" s="9">
        <f t="shared" si="21"/>
        <v>10</v>
      </c>
      <c r="AR22" s="9">
        <f t="shared" si="22"/>
        <v>9.1501393815618501E-4</v>
      </c>
      <c r="AS22" s="12">
        <f t="shared" si="23"/>
        <v>1.2798654923651744E-5</v>
      </c>
      <c r="AT22" s="9">
        <f t="shared" si="24"/>
        <v>0.15715129289336613</v>
      </c>
      <c r="AU22" s="9">
        <f t="shared" si="31"/>
        <v>0.14433607180130689</v>
      </c>
      <c r="AV22" s="9">
        <f t="shared" si="32"/>
        <v>7.372449351370423</v>
      </c>
      <c r="AW22" s="13"/>
      <c r="AX22" s="13"/>
      <c r="AY22" s="14">
        <f t="shared" si="33"/>
        <v>1170638.7914140811</v>
      </c>
      <c r="AZ22" s="14">
        <f t="shared" si="34"/>
        <v>1.1706387914140812</v>
      </c>
      <c r="BA22" s="14">
        <f t="shared" si="35"/>
        <v>41.126286060572681</v>
      </c>
      <c r="BB22" s="14">
        <f t="shared" si="36"/>
        <v>41.126286060572681</v>
      </c>
      <c r="BD22" s="14">
        <f t="shared" si="37"/>
        <v>31276608.930910561</v>
      </c>
      <c r="BE22" s="14">
        <f t="shared" si="38"/>
        <v>0.30199517204020154</v>
      </c>
      <c r="BF22" s="14">
        <f t="shared" si="39"/>
        <v>3.0292689435246201E-2</v>
      </c>
      <c r="BG22" s="14">
        <f t="shared" si="40"/>
        <v>1.3095050452256458</v>
      </c>
      <c r="BH22" s="7">
        <f t="shared" si="41"/>
        <v>0.8</v>
      </c>
      <c r="BI22" s="14">
        <f t="shared" si="42"/>
        <v>4486599.866014529</v>
      </c>
      <c r="BJ22" s="14">
        <f t="shared" si="43"/>
        <v>4786346.7349834675</v>
      </c>
      <c r="BK22" s="14">
        <f t="shared" si="44"/>
        <v>4.7863467349834679</v>
      </c>
      <c r="BL22" s="14">
        <f t="shared" si="45"/>
        <v>-140.71473673782711</v>
      </c>
      <c r="BM22" s="7">
        <f t="shared" si="46"/>
        <v>140.71473673782711</v>
      </c>
      <c r="BO22" s="14">
        <f t="shared" si="47"/>
        <v>1382253.2298739643</v>
      </c>
      <c r="BP22" s="14">
        <f t="shared" si="48"/>
        <v>1.3822532298739643</v>
      </c>
      <c r="BQ22" s="14">
        <f t="shared" si="49"/>
        <v>30.48378215013047</v>
      </c>
      <c r="BR22" s="14">
        <f t="shared" si="50"/>
        <v>30.48378215013047</v>
      </c>
      <c r="BT22" s="14">
        <f t="shared" si="51"/>
        <v>1429787.8368416259</v>
      </c>
      <c r="BU22" s="14">
        <f t="shared" si="52"/>
        <v>1.4297878368416259</v>
      </c>
      <c r="BV22" s="14">
        <f t="shared" si="53"/>
        <v>28.093173814439915</v>
      </c>
      <c r="BW22" s="14">
        <f t="shared" si="54"/>
        <v>28.093173814439915</v>
      </c>
      <c r="BY22" s="14">
        <f t="shared" si="55"/>
        <v>0.25826224700687334</v>
      </c>
      <c r="BZ22" s="14">
        <f t="shared" si="56"/>
        <v>1691.3768841139131</v>
      </c>
      <c r="CA22" s="14">
        <f t="shared" si="57"/>
        <v>0.30936654205422703</v>
      </c>
      <c r="CB22" s="14">
        <f t="shared" si="58"/>
        <v>0.91086338603716122</v>
      </c>
      <c r="CC22" s="14">
        <f t="shared" si="59"/>
        <v>2.7167622622789342</v>
      </c>
      <c r="CD22" s="14">
        <f t="shared" si="60"/>
        <v>8936173.9802601617</v>
      </c>
      <c r="CE22" s="14">
        <f t="shared" si="61"/>
        <v>6841161.4472226137</v>
      </c>
      <c r="CF22" s="14">
        <f t="shared" si="62"/>
        <v>6.8411614472226141</v>
      </c>
      <c r="CG22" s="14">
        <f t="shared" si="63"/>
        <v>-244.05538669250876</v>
      </c>
      <c r="CH22" s="14">
        <f t="shared" si="64"/>
        <v>244.05538669250876</v>
      </c>
      <c r="CJ22" s="14">
        <f t="shared" si="65"/>
        <v>1.5438134602341049</v>
      </c>
      <c r="CK22" s="14">
        <f t="shared" si="66"/>
        <v>7.9441638524897912E-2</v>
      </c>
      <c r="CL22" s="14">
        <f t="shared" si="67"/>
        <v>0.29838599999999998</v>
      </c>
      <c r="CM22" s="14">
        <f t="shared" si="68"/>
        <v>368.62246756852119</v>
      </c>
      <c r="CN22" s="14">
        <f t="shared" si="69"/>
        <v>110.99178360790076</v>
      </c>
      <c r="CO22" s="14">
        <f t="shared" si="70"/>
        <v>0.48859912227919472</v>
      </c>
      <c r="CP22" s="14">
        <f t="shared" si="71"/>
        <v>1.1420271516474709</v>
      </c>
      <c r="CQ22" s="14">
        <f t="shared" si="72"/>
        <v>2.1420271516474712</v>
      </c>
      <c r="CR22" s="14">
        <f t="shared" si="73"/>
        <v>18.887044130994916</v>
      </c>
      <c r="CS22" s="14">
        <f t="shared" si="74"/>
        <v>22.109906514892305</v>
      </c>
      <c r="CT22" s="14">
        <f t="shared" si="75"/>
        <v>-1011.9504333295343</v>
      </c>
      <c r="CU22" s="14">
        <f t="shared" si="76"/>
        <v>1011.9504333295343</v>
      </c>
      <c r="CW22" s="14">
        <f t="shared" si="77"/>
        <v>4.5882322965703208</v>
      </c>
      <c r="CX22" s="14">
        <f t="shared" si="78"/>
        <v>5.3711627103841346</v>
      </c>
      <c r="CY22" s="14">
        <f t="shared" si="79"/>
        <v>-170.12627571592273</v>
      </c>
      <c r="CZ22" s="14">
        <f t="shared" si="80"/>
        <v>170.12627571592273</v>
      </c>
      <c r="DB22" s="14">
        <f t="shared" si="81"/>
        <v>4.8828923156014001</v>
      </c>
      <c r="DC22" s="14">
        <f t="shared" si="82"/>
        <v>5.7161031589407276</v>
      </c>
      <c r="DD22" s="14">
        <f t="shared" si="83"/>
        <v>-187.4740053857447</v>
      </c>
      <c r="DE22" s="14">
        <f t="shared" si="84"/>
        <v>187.4740053857447</v>
      </c>
      <c r="DG22" s="14">
        <f t="shared" si="85"/>
        <v>8936173.9802601617</v>
      </c>
      <c r="DH22" s="14">
        <f t="shared" si="86"/>
        <v>3.952847075210475E-2</v>
      </c>
      <c r="DI22" s="14">
        <f t="shared" si="87"/>
        <v>353233.29181443329</v>
      </c>
      <c r="DJ22" s="14">
        <f t="shared" si="88"/>
        <v>0.3532332918144333</v>
      </c>
      <c r="DK22" s="14">
        <f t="shared" si="89"/>
        <v>82.235207026546291</v>
      </c>
      <c r="DL22" s="14">
        <f t="shared" si="90"/>
        <v>82.235207026546291</v>
      </c>
    </row>
    <row r="23" spans="1:116" x14ac:dyDescent="0.3">
      <c r="A23" s="7">
        <v>22</v>
      </c>
      <c r="B23" s="8" t="s">
        <v>46</v>
      </c>
      <c r="C23" s="9">
        <v>90</v>
      </c>
      <c r="D23" s="7">
        <v>231</v>
      </c>
      <c r="E23" s="10">
        <v>200</v>
      </c>
      <c r="F23" s="9">
        <v>20</v>
      </c>
      <c r="G23" s="21">
        <f t="shared" si="25"/>
        <v>3.183098861837907</v>
      </c>
      <c r="H23" s="7">
        <v>0.2</v>
      </c>
      <c r="I23" s="7">
        <v>523.58441017771543</v>
      </c>
      <c r="J23" s="7">
        <v>25.280051469779998</v>
      </c>
      <c r="K23" s="7">
        <f t="shared" si="0"/>
        <v>4.8282666516368249E-2</v>
      </c>
      <c r="L23" s="7">
        <f t="shared" si="26"/>
        <v>7.9999999999999996E-6</v>
      </c>
      <c r="M23" s="7">
        <f t="shared" si="1"/>
        <v>1.9313066606547298E-6</v>
      </c>
      <c r="N23" s="7">
        <f t="shared" si="2"/>
        <v>13236.240838067048</v>
      </c>
      <c r="O23" s="7">
        <f t="shared" si="3"/>
        <v>1.5400000000000002E-5</v>
      </c>
      <c r="P23" s="7">
        <f t="shared" si="4"/>
        <v>9.9999999999999995E-8</v>
      </c>
      <c r="Q23" s="7">
        <v>0.02</v>
      </c>
      <c r="R23" s="7">
        <f t="shared" si="5"/>
        <v>1.2987012987012987E-4</v>
      </c>
      <c r="S23" s="7">
        <f t="shared" si="6"/>
        <v>35.602679815733268</v>
      </c>
      <c r="T23" s="9">
        <f t="shared" si="7"/>
        <v>13200.638158251315</v>
      </c>
      <c r="U23" s="11">
        <f t="shared" si="27"/>
        <v>3.3001595395628289</v>
      </c>
      <c r="V23" s="7">
        <v>18.67619187168</v>
      </c>
      <c r="W23" s="7">
        <v>19.54472564684</v>
      </c>
      <c r="X23" s="7">
        <f>0.5*(V23+W23)</f>
        <v>19.110458759259998</v>
      </c>
      <c r="Y23" s="7">
        <v>99.4</v>
      </c>
      <c r="Z23" s="9">
        <f t="shared" si="9"/>
        <v>80.289541240740007</v>
      </c>
      <c r="AA23" s="9">
        <f t="shared" si="10"/>
        <v>7.247790824814801E-2</v>
      </c>
      <c r="AB23" s="9">
        <f t="shared" si="11"/>
        <v>998.47928808400218</v>
      </c>
      <c r="AC23" s="12">
        <v>0.99839999999999995</v>
      </c>
      <c r="AD23" s="12">
        <f t="shared" si="12"/>
        <v>2258180.3232856165</v>
      </c>
      <c r="AE23" s="12">
        <f t="shared" si="13"/>
        <v>0.59000762111999994</v>
      </c>
      <c r="AF23" s="12">
        <v>9.81</v>
      </c>
      <c r="AG23" s="7">
        <f t="shared" si="14"/>
        <v>3300159.5395628288</v>
      </c>
      <c r="AH23" s="7">
        <f t="shared" si="15"/>
        <v>3.3001595395628289</v>
      </c>
      <c r="AI23" s="7">
        <f t="shared" si="16"/>
        <v>2.6457513110645908E-2</v>
      </c>
      <c r="AJ23" s="7">
        <f t="shared" si="17"/>
        <v>1.4143549766589715E-2</v>
      </c>
      <c r="AK23" s="7">
        <f t="shared" si="18"/>
        <v>3.0000666659259424E-2</v>
      </c>
      <c r="AL23" s="7">
        <f t="shared" si="28"/>
        <v>4.2902074014316778</v>
      </c>
      <c r="AM23" s="7">
        <f t="shared" si="29"/>
        <v>2.3101116776939801</v>
      </c>
      <c r="AN23" s="7">
        <f t="shared" si="30"/>
        <v>3.3001595395628289</v>
      </c>
      <c r="AO23" s="9">
        <f t="shared" si="19"/>
        <v>4184.9331629578219</v>
      </c>
      <c r="AP23" s="9">
        <f t="shared" si="20"/>
        <v>0.5972909129304782</v>
      </c>
      <c r="AQ23" s="9">
        <f t="shared" si="21"/>
        <v>10</v>
      </c>
      <c r="AR23" s="9">
        <f t="shared" si="22"/>
        <v>9.5352626068773291E-4</v>
      </c>
      <c r="AS23" s="12">
        <f t="shared" si="23"/>
        <v>1.2798654923651744E-5</v>
      </c>
      <c r="AT23" s="9">
        <f t="shared" si="24"/>
        <v>0.14968032687829483</v>
      </c>
      <c r="AU23" s="9">
        <f t="shared" si="31"/>
        <v>0.1487951871302105</v>
      </c>
      <c r="AV23" s="9">
        <f t="shared" si="32"/>
        <v>7.3502625554483112</v>
      </c>
      <c r="AY23" s="7">
        <f t="shared" si="33"/>
        <v>1172729.8488057079</v>
      </c>
      <c r="AZ23" s="7">
        <f t="shared" si="34"/>
        <v>1.1727298488057079</v>
      </c>
      <c r="BA23" s="7">
        <f t="shared" si="35"/>
        <v>64.464449831990265</v>
      </c>
      <c r="BB23" s="7">
        <f t="shared" si="36"/>
        <v>64.464449831990265</v>
      </c>
      <c r="BD23" s="7">
        <f t="shared" si="37"/>
        <v>31332476.876488376</v>
      </c>
      <c r="BE23" s="7">
        <f t="shared" si="38"/>
        <v>0.30199517204020154</v>
      </c>
      <c r="BF23" s="7">
        <f t="shared" si="39"/>
        <v>3.0402448849673323E-2</v>
      </c>
      <c r="BG23" s="7">
        <f t="shared" si="40"/>
        <v>1.3197303819735353</v>
      </c>
      <c r="BH23" s="7">
        <f t="shared" si="41"/>
        <v>0.98973665961010282</v>
      </c>
      <c r="BI23" s="7">
        <f t="shared" si="42"/>
        <v>4699564.9760932028</v>
      </c>
      <c r="BJ23" s="7">
        <f t="shared" si="43"/>
        <v>5075322.9157616058</v>
      </c>
      <c r="BK23" s="7">
        <f t="shared" si="44"/>
        <v>5.075322915761606</v>
      </c>
      <c r="BL23" s="7">
        <f t="shared" si="45"/>
        <v>-53.790229075832265</v>
      </c>
      <c r="BM23" s="7">
        <f t="shared" si="46"/>
        <v>53.790229075832265</v>
      </c>
      <c r="BO23" s="7">
        <f t="shared" si="47"/>
        <v>1382713.8974575307</v>
      </c>
      <c r="BP23" s="7">
        <f t="shared" si="48"/>
        <v>1.3827138974575308</v>
      </c>
      <c r="BQ23" s="7">
        <f t="shared" si="49"/>
        <v>58.101604456350053</v>
      </c>
      <c r="BR23" s="7">
        <f t="shared" si="50"/>
        <v>58.101604456350053</v>
      </c>
      <c r="BT23" s="7">
        <f t="shared" si="51"/>
        <v>1432341.8000680401</v>
      </c>
      <c r="BU23" s="7">
        <f t="shared" si="52"/>
        <v>1.4323418000680401</v>
      </c>
      <c r="BV23" s="7">
        <f t="shared" si="53"/>
        <v>56.597801321514844</v>
      </c>
      <c r="BW23" s="7">
        <f t="shared" si="54"/>
        <v>56.597801321514844</v>
      </c>
      <c r="BY23" s="7">
        <f t="shared" si="55"/>
        <v>0.25829091746820948</v>
      </c>
      <c r="BZ23" s="7">
        <f t="shared" si="56"/>
        <v>1692.3159165107197</v>
      </c>
      <c r="CA23" s="7">
        <f t="shared" si="57"/>
        <v>0.30938800642080844</v>
      </c>
      <c r="CB23" s="7">
        <f t="shared" si="58"/>
        <v>0.91085238348758157</v>
      </c>
      <c r="CC23" s="7">
        <f t="shared" si="59"/>
        <v>2.71695072028005</v>
      </c>
      <c r="CD23" s="7">
        <f t="shared" si="60"/>
        <v>8952136.2504252512</v>
      </c>
      <c r="CE23" s="7">
        <f t="shared" si="61"/>
        <v>6854249.6406589691</v>
      </c>
      <c r="CF23" s="7">
        <f t="shared" si="62"/>
        <v>6.8542496406589688</v>
      </c>
      <c r="CG23" s="7">
        <f t="shared" si="63"/>
        <v>-107.6944935082426</v>
      </c>
      <c r="CH23" s="7">
        <f t="shared" si="64"/>
        <v>107.6944935082426</v>
      </c>
      <c r="CJ23" s="7">
        <f t="shared" si="65"/>
        <v>1.5438134602341049</v>
      </c>
      <c r="CK23" s="7">
        <f t="shared" si="66"/>
        <v>7.9441638524897912E-2</v>
      </c>
      <c r="CL23" s="7">
        <f t="shared" si="67"/>
        <v>0.29838599999999998</v>
      </c>
      <c r="CM23" s="7">
        <f t="shared" si="68"/>
        <v>367.51312777241554</v>
      </c>
      <c r="CN23" s="7">
        <f t="shared" si="69"/>
        <v>110.66077214349998</v>
      </c>
      <c r="CO23" s="7">
        <f t="shared" si="70"/>
        <v>0.48897987679833715</v>
      </c>
      <c r="CP23" s="7">
        <f t="shared" si="71"/>
        <v>1.1777990995227618</v>
      </c>
      <c r="CQ23" s="7">
        <f t="shared" si="72"/>
        <v>2.1777990995227618</v>
      </c>
      <c r="CR23" s="7">
        <f t="shared" si="73"/>
        <v>19.145190992839726</v>
      </c>
      <c r="CS23" s="7">
        <f t="shared" si="74"/>
        <v>22.452136938389334</v>
      </c>
      <c r="CT23" s="7">
        <f t="shared" si="75"/>
        <v>-580.334895002184</v>
      </c>
      <c r="CU23" s="7">
        <f t="shared" si="76"/>
        <v>580.334895002184</v>
      </c>
      <c r="CW23" s="7">
        <f t="shared" si="77"/>
        <v>4.7007299240019975</v>
      </c>
      <c r="CX23" s="7">
        <f t="shared" si="78"/>
        <v>5.5126862930513294</v>
      </c>
      <c r="CY23" s="7">
        <f t="shared" si="79"/>
        <v>-67.043024040637548</v>
      </c>
      <c r="CZ23" s="7">
        <f t="shared" si="80"/>
        <v>67.043024040637548</v>
      </c>
      <c r="DB23" s="7">
        <f t="shared" si="81"/>
        <v>5.0045169383773898</v>
      </c>
      <c r="DC23" s="7">
        <f t="shared" si="82"/>
        <v>5.8689463924889207</v>
      </c>
      <c r="DD23" s="7">
        <f t="shared" si="83"/>
        <v>-77.838262730364193</v>
      </c>
      <c r="DE23" s="7">
        <f t="shared" si="84"/>
        <v>77.838262730364193</v>
      </c>
      <c r="DG23" s="7">
        <f t="shared" si="85"/>
        <v>8952136.2504252512</v>
      </c>
      <c r="DH23" s="7">
        <f t="shared" si="86"/>
        <v>0.125</v>
      </c>
      <c r="DI23" s="7">
        <f t="shared" si="87"/>
        <v>1119017.0313031564</v>
      </c>
      <c r="DJ23" s="7">
        <f t="shared" si="88"/>
        <v>1.1190170313031564</v>
      </c>
      <c r="DK23" s="7">
        <f t="shared" si="89"/>
        <v>66.092032282433465</v>
      </c>
      <c r="DL23" s="7">
        <f t="shared" si="90"/>
        <v>66.092032282433465</v>
      </c>
    </row>
    <row r="24" spans="1:116" x14ac:dyDescent="0.3">
      <c r="A24" s="7">
        <v>23</v>
      </c>
      <c r="B24" s="8" t="s">
        <v>44</v>
      </c>
      <c r="C24" s="9">
        <v>0</v>
      </c>
      <c r="D24" s="7">
        <v>232</v>
      </c>
      <c r="E24" s="10">
        <v>200</v>
      </c>
      <c r="F24" s="9">
        <v>20</v>
      </c>
      <c r="G24" s="21">
        <f t="shared" si="25"/>
        <v>3.183098861837907</v>
      </c>
      <c r="H24" s="7">
        <v>0.2</v>
      </c>
      <c r="I24" s="7">
        <v>534.09101826644303</v>
      </c>
      <c r="J24" s="7">
        <v>23.406225578490002</v>
      </c>
      <c r="K24" s="7">
        <f t="shared" si="0"/>
        <v>4.382441340141259E-2</v>
      </c>
      <c r="L24" s="7">
        <f t="shared" si="26"/>
        <v>7.9999999999999996E-6</v>
      </c>
      <c r="M24" s="7">
        <f t="shared" si="1"/>
        <v>1.7529765360565037E-6</v>
      </c>
      <c r="N24" s="7">
        <f t="shared" si="2"/>
        <v>12501.05485298979</v>
      </c>
      <c r="O24" s="7">
        <f t="shared" si="3"/>
        <v>1.5400000000000002E-5</v>
      </c>
      <c r="P24" s="7">
        <f t="shared" si="4"/>
        <v>9.9999999999999995E-8</v>
      </c>
      <c r="Q24" s="7">
        <v>0.02</v>
      </c>
      <c r="R24" s="7">
        <f t="shared" si="5"/>
        <v>1.2987012987012987E-4</v>
      </c>
      <c r="S24" s="7">
        <f t="shared" si="6"/>
        <v>37.045872180894285</v>
      </c>
      <c r="T24" s="9">
        <f t="shared" si="7"/>
        <v>12464.008980808896</v>
      </c>
      <c r="U24" s="11">
        <f t="shared" si="27"/>
        <v>3.1160022452022238</v>
      </c>
      <c r="V24" s="7">
        <v>24.640435633119999</v>
      </c>
      <c r="W24" s="7">
        <v>25.65866137862</v>
      </c>
      <c r="X24" s="7">
        <f t="shared" si="8"/>
        <v>25.149548505870001</v>
      </c>
      <c r="Y24" s="7">
        <v>99.4</v>
      </c>
      <c r="Z24" s="9">
        <f t="shared" si="9"/>
        <v>74.250451494130004</v>
      </c>
      <c r="AA24" s="9">
        <f t="shared" si="10"/>
        <v>7.1270090298826E-2</v>
      </c>
      <c r="AB24" s="9">
        <f t="shared" si="11"/>
        <v>997.00587083599999</v>
      </c>
      <c r="AC24" s="12">
        <v>0.99839999999999995</v>
      </c>
      <c r="AD24" s="12">
        <f t="shared" si="12"/>
        <v>2258180.3232856165</v>
      </c>
      <c r="AE24" s="12">
        <f t="shared" si="13"/>
        <v>0.59000762111999994</v>
      </c>
      <c r="AF24" s="12">
        <v>9.81</v>
      </c>
      <c r="AG24" s="7">
        <f t="shared" si="14"/>
        <v>3116002.2452022238</v>
      </c>
      <c r="AH24" s="7">
        <f t="shared" si="15"/>
        <v>3.1160022452022238</v>
      </c>
      <c r="AI24" s="7">
        <f t="shared" si="16"/>
        <v>2.6457513110645908E-2</v>
      </c>
      <c r="AJ24" s="7">
        <f t="shared" si="17"/>
        <v>1.4143549766589715E-2</v>
      </c>
      <c r="AK24" s="7">
        <f t="shared" si="18"/>
        <v>3.0000666659259424E-2</v>
      </c>
      <c r="AL24" s="7">
        <f t="shared" si="28"/>
        <v>4.0508029187628907</v>
      </c>
      <c r="AM24" s="7">
        <f t="shared" si="29"/>
        <v>2.1812015716415565</v>
      </c>
      <c r="AN24" s="7">
        <f t="shared" si="30"/>
        <v>3.1160022452022238</v>
      </c>
      <c r="AO24" s="9">
        <f t="shared" si="19"/>
        <v>4181.8584317147106</v>
      </c>
      <c r="AP24" s="9">
        <f t="shared" si="20"/>
        <v>0.6079040088124229</v>
      </c>
      <c r="AQ24" s="9">
        <f t="shared" si="21"/>
        <v>10</v>
      </c>
      <c r="AR24" s="9">
        <f t="shared" si="22"/>
        <v>8.5770644326290009E-4</v>
      </c>
      <c r="AS24" s="12">
        <f t="shared" si="23"/>
        <v>1.2798654923651744E-5</v>
      </c>
      <c r="AT24" s="9">
        <f t="shared" si="24"/>
        <v>0.16948333771062027</v>
      </c>
      <c r="AU24" s="9">
        <f t="shared" si="31"/>
        <v>0.13750225056764823</v>
      </c>
      <c r="AV24" s="9">
        <f t="shared" si="32"/>
        <v>7.4068092682119477</v>
      </c>
      <c r="AY24" s="7">
        <f t="shared" si="33"/>
        <v>1167381.9193601785</v>
      </c>
      <c r="AZ24" s="7">
        <f t="shared" si="34"/>
        <v>1.1673819193601784</v>
      </c>
      <c r="BA24" s="7">
        <f t="shared" si="35"/>
        <v>62.535908914776243</v>
      </c>
      <c r="BB24" s="7">
        <f t="shared" si="36"/>
        <v>62.535908914776243</v>
      </c>
      <c r="BD24" s="7">
        <f t="shared" si="37"/>
        <v>31189593.265348282</v>
      </c>
      <c r="BE24" s="7">
        <f t="shared" si="38"/>
        <v>0.30199517204020154</v>
      </c>
      <c r="BF24" s="7">
        <f t="shared" si="39"/>
        <v>3.0124135748198291E-2</v>
      </c>
      <c r="BG24" s="7">
        <f t="shared" si="40"/>
        <v>1.2939113700464646</v>
      </c>
      <c r="BH24" s="7">
        <f t="shared" si="41"/>
        <v>1.0683281572999748</v>
      </c>
      <c r="BI24" s="7">
        <f t="shared" si="42"/>
        <v>4178796.9992980924</v>
      </c>
      <c r="BJ24" s="7">
        <f t="shared" si="43"/>
        <v>4571020.4095783476</v>
      </c>
      <c r="BK24" s="7">
        <f t="shared" si="44"/>
        <v>4.571020409578348</v>
      </c>
      <c r="BL24" s="7">
        <f t="shared" si="45"/>
        <v>-46.695029395965534</v>
      </c>
      <c r="BM24" s="7">
        <f t="shared" si="46"/>
        <v>46.695029395965534</v>
      </c>
      <c r="BO24" s="7">
        <f t="shared" si="47"/>
        <v>1381488.56118438</v>
      </c>
      <c r="BP24" s="7">
        <f t="shared" si="48"/>
        <v>1.3814885611843799</v>
      </c>
      <c r="BQ24" s="7">
        <f t="shared" si="49"/>
        <v>55.66471226676785</v>
      </c>
      <c r="BR24" s="7">
        <f t="shared" si="50"/>
        <v>55.66471226676785</v>
      </c>
      <c r="BT24" s="7">
        <f t="shared" si="51"/>
        <v>1425809.977844493</v>
      </c>
      <c r="BU24" s="7">
        <f t="shared" si="52"/>
        <v>1.425809977844493</v>
      </c>
      <c r="BV24" s="7">
        <f t="shared" si="53"/>
        <v>54.242331498963345</v>
      </c>
      <c r="BW24" s="7">
        <f t="shared" si="54"/>
        <v>54.242331498963345</v>
      </c>
      <c r="BY24" s="7">
        <f t="shared" si="55"/>
        <v>0.25821464245007242</v>
      </c>
      <c r="BZ24" s="7">
        <f t="shared" si="56"/>
        <v>1689.8186313990373</v>
      </c>
      <c r="CA24" s="7">
        <f t="shared" si="57"/>
        <v>0.30933090055433454</v>
      </c>
      <c r="CB24" s="7">
        <f t="shared" si="58"/>
        <v>0.9108816540718504</v>
      </c>
      <c r="CC24" s="7">
        <f t="shared" si="59"/>
        <v>2.7164493285157985</v>
      </c>
      <c r="CD24" s="7">
        <f t="shared" si="60"/>
        <v>8911312.36152808</v>
      </c>
      <c r="CE24" s="7">
        <f t="shared" si="61"/>
        <v>6820693.5330327153</v>
      </c>
      <c r="CF24" s="7">
        <f t="shared" si="62"/>
        <v>6.8206935330327152</v>
      </c>
      <c r="CG24" s="7">
        <f t="shared" si="63"/>
        <v>-118.89244603512995</v>
      </c>
      <c r="CH24" s="7">
        <f t="shared" si="64"/>
        <v>118.89244603512995</v>
      </c>
      <c r="CJ24" s="7">
        <f t="shared" si="65"/>
        <v>1.5438134602341049</v>
      </c>
      <c r="CK24" s="7">
        <f t="shared" si="66"/>
        <v>7.9441638524897912E-2</v>
      </c>
      <c r="CL24" s="7">
        <f t="shared" si="67"/>
        <v>0.29838599999999998</v>
      </c>
      <c r="CM24" s="7">
        <f t="shared" si="68"/>
        <v>370.34046341059741</v>
      </c>
      <c r="CN24" s="7">
        <f t="shared" si="69"/>
        <v>111.50440951523451</v>
      </c>
      <c r="CO24" s="7">
        <f t="shared" si="70"/>
        <v>0.48807973745934607</v>
      </c>
      <c r="CP24" s="7">
        <f t="shared" si="71"/>
        <v>1.0872042261447865</v>
      </c>
      <c r="CQ24" s="7">
        <f t="shared" si="72"/>
        <v>2.0872042261447863</v>
      </c>
      <c r="CR24" s="7">
        <f t="shared" si="73"/>
        <v>18.488649133999154</v>
      </c>
      <c r="CS24" s="7">
        <f t="shared" si="74"/>
        <v>21.583314712424833</v>
      </c>
      <c r="CT24" s="7">
        <f t="shared" si="75"/>
        <v>-592.66043519888763</v>
      </c>
      <c r="CU24" s="7">
        <f t="shared" si="76"/>
        <v>592.66043519888763</v>
      </c>
      <c r="CW24" s="7">
        <f t="shared" si="77"/>
        <v>4.4158220566884037</v>
      </c>
      <c r="CX24" s="7">
        <f t="shared" si="78"/>
        <v>5.1549508280899197</v>
      </c>
      <c r="CY24" s="7">
        <f t="shared" si="79"/>
        <v>-65.43475974791447</v>
      </c>
      <c r="CZ24" s="7">
        <f t="shared" si="80"/>
        <v>65.43475974791447</v>
      </c>
      <c r="DB24" s="7">
        <f t="shared" si="81"/>
        <v>4.6964943688922762</v>
      </c>
      <c r="DC24" s="7">
        <f t="shared" si="82"/>
        <v>5.4826026106217354</v>
      </c>
      <c r="DD24" s="7">
        <f t="shared" si="83"/>
        <v>-75.949892817420704</v>
      </c>
      <c r="DE24" s="7">
        <f t="shared" si="84"/>
        <v>75.949892817420704</v>
      </c>
      <c r="DG24" s="7">
        <f t="shared" si="85"/>
        <v>8911312.36152808</v>
      </c>
      <c r="DH24" s="7">
        <f t="shared" si="86"/>
        <v>0.17230060940112779</v>
      </c>
      <c r="DI24" s="7">
        <f t="shared" si="87"/>
        <v>1535424.5504550913</v>
      </c>
      <c r="DJ24" s="7">
        <f t="shared" si="88"/>
        <v>1.5354245504550912</v>
      </c>
      <c r="DK24" s="7">
        <f t="shared" si="89"/>
        <v>50.724536453103731</v>
      </c>
      <c r="DL24" s="7">
        <f t="shared" si="90"/>
        <v>50.724536453103731</v>
      </c>
    </row>
    <row r="25" spans="1:116" x14ac:dyDescent="0.3">
      <c r="A25" s="7">
        <v>24</v>
      </c>
      <c r="B25" s="8" t="s">
        <v>44</v>
      </c>
      <c r="C25" s="9">
        <v>0</v>
      </c>
      <c r="D25" s="7">
        <v>232</v>
      </c>
      <c r="E25" s="10">
        <v>200</v>
      </c>
      <c r="F25" s="9">
        <v>20</v>
      </c>
      <c r="G25" s="21">
        <f t="shared" si="25"/>
        <v>3.183098861837907</v>
      </c>
      <c r="H25" s="7">
        <v>0.2</v>
      </c>
      <c r="I25" s="7">
        <v>528.32497389443745</v>
      </c>
      <c r="J25" s="7">
        <v>23.17816488862</v>
      </c>
      <c r="K25" s="7">
        <f t="shared" si="0"/>
        <v>4.3871037777690094E-2</v>
      </c>
      <c r="L25" s="7">
        <f t="shared" si="26"/>
        <v>7.9999999999999996E-6</v>
      </c>
      <c r="M25" s="7">
        <f t="shared" si="1"/>
        <v>1.7548415111076035E-6</v>
      </c>
      <c r="N25" s="7">
        <f t="shared" si="2"/>
        <v>12245.603359701128</v>
      </c>
      <c r="O25" s="7">
        <f t="shared" si="3"/>
        <v>1.5400000000000002E-5</v>
      </c>
      <c r="P25" s="7">
        <f t="shared" si="4"/>
        <v>9.9999999999999995E-8</v>
      </c>
      <c r="Q25" s="7">
        <v>0.02</v>
      </c>
      <c r="R25" s="7">
        <f t="shared" si="5"/>
        <v>1.2987012987012987E-4</v>
      </c>
      <c r="S25" s="7">
        <f t="shared" si="6"/>
        <v>36.250295849423118</v>
      </c>
      <c r="T25" s="9">
        <f t="shared" si="7"/>
        <v>12209.353063851706</v>
      </c>
      <c r="U25" s="11">
        <f t="shared" si="27"/>
        <v>3.0523382659629266</v>
      </c>
      <c r="V25" s="7">
        <v>29.743330194759999</v>
      </c>
      <c r="W25" s="7">
        <v>30.147965029150001</v>
      </c>
      <c r="X25" s="7">
        <f t="shared" si="8"/>
        <v>29.945647611955</v>
      </c>
      <c r="Y25" s="7">
        <v>99.4</v>
      </c>
      <c r="Z25" s="9">
        <f t="shared" si="9"/>
        <v>69.45435238804501</v>
      </c>
      <c r="AA25" s="9">
        <f t="shared" si="10"/>
        <v>7.0310870477609005E-2</v>
      </c>
      <c r="AB25" s="9">
        <f t="shared" si="11"/>
        <v>995.67981855285245</v>
      </c>
      <c r="AC25" s="12">
        <v>0.99839999999999995</v>
      </c>
      <c r="AD25" s="12">
        <f t="shared" si="12"/>
        <v>2258180.3232856165</v>
      </c>
      <c r="AE25" s="12">
        <f t="shared" si="13"/>
        <v>0.59000762111999994</v>
      </c>
      <c r="AF25" s="12">
        <v>9.81</v>
      </c>
      <c r="AG25" s="7">
        <f t="shared" si="14"/>
        <v>3052338.2659629267</v>
      </c>
      <c r="AH25" s="7">
        <f t="shared" si="15"/>
        <v>3.0523382659629266</v>
      </c>
      <c r="AI25" s="7">
        <f t="shared" si="16"/>
        <v>2.6457513110645908E-2</v>
      </c>
      <c r="AJ25" s="7">
        <f t="shared" si="17"/>
        <v>1.4143549766589715E-2</v>
      </c>
      <c r="AK25" s="7">
        <f t="shared" si="18"/>
        <v>3.0000666659259424E-2</v>
      </c>
      <c r="AL25" s="7">
        <f t="shared" si="28"/>
        <v>3.9680397457518048</v>
      </c>
      <c r="AM25" s="7">
        <f t="shared" si="29"/>
        <v>2.1366367861740483</v>
      </c>
      <c r="AN25" s="7">
        <f t="shared" si="30"/>
        <v>3.0523382659629266</v>
      </c>
      <c r="AO25" s="9">
        <f t="shared" si="19"/>
        <v>4181.0950061522271</v>
      </c>
      <c r="AP25" s="9">
        <f t="shared" si="20"/>
        <v>0.61581300663730709</v>
      </c>
      <c r="AQ25" s="9">
        <f t="shared" si="21"/>
        <v>10</v>
      </c>
      <c r="AR25" s="9">
        <f t="shared" si="22"/>
        <v>7.8628565788363793E-4</v>
      </c>
      <c r="AS25" s="12">
        <f t="shared" si="23"/>
        <v>1.2798654923651744E-5</v>
      </c>
      <c r="AT25" s="9">
        <f t="shared" si="24"/>
        <v>0.18731754934828534</v>
      </c>
      <c r="AU25" s="9">
        <f t="shared" si="31"/>
        <v>0.12859701367987814</v>
      </c>
      <c r="AV25" s="9">
        <f t="shared" si="32"/>
        <v>7.4521982811762584</v>
      </c>
      <c r="AY25" s="7">
        <f t="shared" si="33"/>
        <v>1163046.7327298715</v>
      </c>
      <c r="AZ25" s="7">
        <f t="shared" si="34"/>
        <v>1.1630467327298715</v>
      </c>
      <c r="BA25" s="7">
        <f t="shared" si="35"/>
        <v>61.896532055467873</v>
      </c>
      <c r="BB25" s="7">
        <f t="shared" si="36"/>
        <v>61.896532055467873</v>
      </c>
      <c r="BD25" s="7">
        <f t="shared" si="37"/>
        <v>31073767.668355346</v>
      </c>
      <c r="BE25" s="7">
        <f t="shared" si="38"/>
        <v>0.30199517204020154</v>
      </c>
      <c r="BF25" s="7">
        <f t="shared" si="39"/>
        <v>2.9904098020136542E-2</v>
      </c>
      <c r="BG25" s="7">
        <f t="shared" si="40"/>
        <v>1.2737312192871391</v>
      </c>
      <c r="BH25" s="7">
        <f t="shared" si="41"/>
        <v>1.0683281572999748</v>
      </c>
      <c r="BI25" s="7">
        <f t="shared" si="42"/>
        <v>3809160.9518356458</v>
      </c>
      <c r="BJ25" s="7">
        <f t="shared" si="43"/>
        <v>4191023.5212139487</v>
      </c>
      <c r="BK25" s="7">
        <f t="shared" si="44"/>
        <v>4.1910235212139488</v>
      </c>
      <c r="BL25" s="7">
        <f t="shared" si="45"/>
        <v>-37.305342856283957</v>
      </c>
      <c r="BM25" s="7">
        <f t="shared" si="46"/>
        <v>37.305342856283957</v>
      </c>
      <c r="BO25" s="7">
        <f t="shared" si="47"/>
        <v>1380385.1580622741</v>
      </c>
      <c r="BP25" s="7">
        <f t="shared" si="48"/>
        <v>1.3803851580622741</v>
      </c>
      <c r="BQ25" s="7">
        <f t="shared" si="49"/>
        <v>54.776140853877422</v>
      </c>
      <c r="BR25" s="7">
        <f t="shared" si="50"/>
        <v>54.776140853877422</v>
      </c>
      <c r="BT25" s="7">
        <f t="shared" si="51"/>
        <v>1420515.0934105301</v>
      </c>
      <c r="BU25" s="7">
        <f t="shared" si="52"/>
        <v>1.4205150934105302</v>
      </c>
      <c r="BV25" s="7">
        <f t="shared" si="53"/>
        <v>53.461413197518013</v>
      </c>
      <c r="BW25" s="7">
        <f t="shared" si="54"/>
        <v>53.461413197518013</v>
      </c>
      <c r="BY25" s="7">
        <f t="shared" si="55"/>
        <v>0.25814591899788814</v>
      </c>
      <c r="BZ25" s="7">
        <f t="shared" si="56"/>
        <v>1687.5711141879369</v>
      </c>
      <c r="CA25" s="7">
        <f t="shared" si="57"/>
        <v>0.30927944300498178</v>
      </c>
      <c r="CB25" s="7">
        <f t="shared" si="58"/>
        <v>0.91090802496610301</v>
      </c>
      <c r="CC25" s="7">
        <f t="shared" si="59"/>
        <v>2.7159975293038636</v>
      </c>
      <c r="CD25" s="7">
        <f t="shared" si="60"/>
        <v>8878219.3338158131</v>
      </c>
      <c r="CE25" s="7">
        <f t="shared" si="61"/>
        <v>6793300.4571351595</v>
      </c>
      <c r="CF25" s="7">
        <f t="shared" si="62"/>
        <v>6.7933004571351594</v>
      </c>
      <c r="CG25" s="7">
        <f t="shared" si="63"/>
        <v>-122.56053769951558</v>
      </c>
      <c r="CH25" s="7">
        <f t="shared" si="64"/>
        <v>122.56053769951558</v>
      </c>
      <c r="CJ25" s="7">
        <f t="shared" si="65"/>
        <v>1.5438134602341049</v>
      </c>
      <c r="CK25" s="7">
        <f t="shared" si="66"/>
        <v>7.9441638524897912E-2</v>
      </c>
      <c r="CL25" s="7">
        <f t="shared" si="67"/>
        <v>0.29838599999999998</v>
      </c>
      <c r="CM25" s="7">
        <f t="shared" si="68"/>
        <v>372.60991405881288</v>
      </c>
      <c r="CN25" s="7">
        <f t="shared" si="69"/>
        <v>112.18158181635293</v>
      </c>
      <c r="CO25" s="7">
        <f t="shared" si="70"/>
        <v>0.48750377102740033</v>
      </c>
      <c r="CP25" s="7">
        <f t="shared" si="71"/>
        <v>1.015777761103136</v>
      </c>
      <c r="CQ25" s="7">
        <f t="shared" si="72"/>
        <v>2.015777761103136</v>
      </c>
      <c r="CR25" s="7">
        <f t="shared" si="73"/>
        <v>17.964386994053438</v>
      </c>
      <c r="CS25" s="7">
        <f t="shared" si="74"/>
        <v>20.89342159892885</v>
      </c>
      <c r="CT25" s="7">
        <f t="shared" si="75"/>
        <v>-584.50544397108501</v>
      </c>
      <c r="CU25" s="7">
        <f t="shared" si="76"/>
        <v>584.50544397108501</v>
      </c>
      <c r="CW25" s="7">
        <f t="shared" si="77"/>
        <v>4.1911991414463774</v>
      </c>
      <c r="CX25" s="7">
        <f t="shared" si="78"/>
        <v>4.8745604676794514</v>
      </c>
      <c r="CY25" s="7">
        <f t="shared" si="79"/>
        <v>-59.699222135252597</v>
      </c>
      <c r="CZ25" s="7">
        <f t="shared" si="80"/>
        <v>59.699222135252597</v>
      </c>
      <c r="DB25" s="7">
        <f t="shared" si="81"/>
        <v>4.4536443877506615</v>
      </c>
      <c r="DC25" s="7">
        <f t="shared" si="82"/>
        <v>5.1797965539141355</v>
      </c>
      <c r="DD25" s="7">
        <f t="shared" si="83"/>
        <v>-69.699296165002735</v>
      </c>
      <c r="DE25" s="7">
        <f t="shared" si="84"/>
        <v>69.699296165002735</v>
      </c>
      <c r="DG25" s="7">
        <f t="shared" si="85"/>
        <v>8878219.3338158131</v>
      </c>
      <c r="DH25" s="7">
        <f t="shared" si="86"/>
        <v>0.17230060940112779</v>
      </c>
      <c r="DI25" s="7">
        <f t="shared" si="87"/>
        <v>1529722.6016133395</v>
      </c>
      <c r="DJ25" s="7">
        <f t="shared" si="88"/>
        <v>1.5297226016133394</v>
      </c>
      <c r="DK25" s="7">
        <f t="shared" si="89"/>
        <v>49.883582082906692</v>
      </c>
      <c r="DL25" s="7">
        <f t="shared" si="90"/>
        <v>49.883582082906692</v>
      </c>
    </row>
    <row r="26" spans="1:116" x14ac:dyDescent="0.3">
      <c r="A26" s="7">
        <v>25</v>
      </c>
      <c r="B26" s="8" t="s">
        <v>44</v>
      </c>
      <c r="C26" s="9">
        <v>0</v>
      </c>
      <c r="D26" s="7">
        <v>330</v>
      </c>
      <c r="E26" s="10">
        <v>300</v>
      </c>
      <c r="F26" s="9">
        <v>10</v>
      </c>
      <c r="G26" s="21">
        <f t="shared" si="25"/>
        <v>1.5915494309189535</v>
      </c>
      <c r="H26" s="7">
        <v>0.2</v>
      </c>
      <c r="I26" s="7">
        <v>274.66400902147302</v>
      </c>
      <c r="J26" s="7">
        <v>33.848719086979997</v>
      </c>
      <c r="K26" s="7">
        <f t="shared" si="0"/>
        <v>0.12323682017010729</v>
      </c>
      <c r="L26" s="7">
        <f t="shared" si="26"/>
        <v>3.9999999999999998E-6</v>
      </c>
      <c r="M26" s="7">
        <f t="shared" si="1"/>
        <v>1.6431576022680973E-6</v>
      </c>
      <c r="N26" s="7">
        <f t="shared" si="2"/>
        <v>9297.0248846715804</v>
      </c>
      <c r="O26" s="7">
        <f t="shared" si="3"/>
        <v>1.5400000000000002E-5</v>
      </c>
      <c r="P26" s="7">
        <f t="shared" si="4"/>
        <v>9.9999999999999995E-8</v>
      </c>
      <c r="Q26" s="7">
        <v>0.02</v>
      </c>
      <c r="R26" s="7">
        <f t="shared" si="5"/>
        <v>1.2987012987012987E-4</v>
      </c>
      <c r="S26" s="7">
        <f t="shared" si="6"/>
        <v>9.7974438768503642</v>
      </c>
      <c r="T26" s="9">
        <f t="shared" si="7"/>
        <v>9287.2274407947298</v>
      </c>
      <c r="U26" s="11">
        <f t="shared" si="27"/>
        <v>3.0957424802649101</v>
      </c>
      <c r="V26" s="7">
        <v>21.25474121617</v>
      </c>
      <c r="W26" s="7">
        <v>21.91848062327</v>
      </c>
      <c r="X26" s="7">
        <f t="shared" si="8"/>
        <v>21.586610919720002</v>
      </c>
      <c r="Y26" s="7">
        <v>99.4</v>
      </c>
      <c r="Z26" s="9">
        <f t="shared" si="9"/>
        <v>77.813389080280004</v>
      </c>
      <c r="AA26" s="9">
        <f t="shared" si="10"/>
        <v>7.1982677816056009E-2</v>
      </c>
      <c r="AB26" s="9">
        <f t="shared" si="11"/>
        <v>997.90162355272901</v>
      </c>
      <c r="AC26" s="12">
        <v>0.99839999999999995</v>
      </c>
      <c r="AD26" s="12">
        <f t="shared" si="12"/>
        <v>2258180.3232856165</v>
      </c>
      <c r="AE26" s="12">
        <f t="shared" si="13"/>
        <v>0.59000762111999994</v>
      </c>
      <c r="AF26" s="12">
        <v>9.81</v>
      </c>
      <c r="AG26" s="7">
        <f t="shared" si="14"/>
        <v>3095742.48026491</v>
      </c>
      <c r="AH26" s="7">
        <f t="shared" si="15"/>
        <v>3.0957424802649101</v>
      </c>
      <c r="AI26" s="7">
        <f t="shared" si="16"/>
        <v>2.6457513110645908E-2</v>
      </c>
      <c r="AJ26" s="7">
        <f t="shared" si="17"/>
        <v>1.4143549766589715E-2</v>
      </c>
      <c r="AK26" s="7">
        <f t="shared" si="18"/>
        <v>3.0000666659259424E-2</v>
      </c>
      <c r="AL26" s="7">
        <f t="shared" si="28"/>
        <v>4.0244652243443833</v>
      </c>
      <c r="AM26" s="7">
        <f t="shared" si="29"/>
        <v>2.1670197361854369</v>
      </c>
      <c r="AN26" s="7">
        <f t="shared" si="30"/>
        <v>3.0957424802649101</v>
      </c>
      <c r="AO26" s="9">
        <f t="shared" si="19"/>
        <v>4183.3617690068695</v>
      </c>
      <c r="AP26" s="9">
        <f t="shared" si="20"/>
        <v>0.6017307263133902</v>
      </c>
      <c r="AQ26" s="9">
        <f t="shared" si="21"/>
        <v>30</v>
      </c>
      <c r="AR26" s="9">
        <f t="shared" si="22"/>
        <v>9.1344413263350164E-4</v>
      </c>
      <c r="AS26" s="12">
        <f t="shared" si="23"/>
        <v>1.2798654923651744E-5</v>
      </c>
      <c r="AT26" s="9">
        <f t="shared" si="24"/>
        <v>0.15746889316155974</v>
      </c>
      <c r="AU26" s="9">
        <f t="shared" si="31"/>
        <v>0.14415215367817541</v>
      </c>
      <c r="AV26" s="9">
        <f t="shared" si="32"/>
        <v>3.6866842452293969</v>
      </c>
      <c r="AY26" s="7">
        <f t="shared" si="33"/>
        <v>1170551.9589616715</v>
      </c>
      <c r="AZ26" s="7">
        <f t="shared" si="34"/>
        <v>1.1705519589616715</v>
      </c>
      <c r="BA26" s="7">
        <f t="shared" si="35"/>
        <v>62.188329086678273</v>
      </c>
      <c r="BB26" s="7">
        <f t="shared" si="36"/>
        <v>62.188329086678273</v>
      </c>
      <c r="BD26" s="7">
        <f t="shared" si="37"/>
        <v>31274288.979891986</v>
      </c>
      <c r="BE26" s="7">
        <f t="shared" si="38"/>
        <v>0.17056776057814982</v>
      </c>
      <c r="BF26" s="7">
        <f t="shared" si="39"/>
        <v>6.9583914704383645E-2</v>
      </c>
      <c r="BG26" s="7">
        <f t="shared" si="40"/>
        <v>1.3090841507664071</v>
      </c>
      <c r="BH26" s="7">
        <f t="shared" si="41"/>
        <v>1.0683281572999748</v>
      </c>
      <c r="BI26" s="7">
        <f t="shared" si="42"/>
        <v>4478026.3310598079</v>
      </c>
      <c r="BJ26" s="7">
        <f t="shared" si="43"/>
        <v>4997143.6164926253</v>
      </c>
      <c r="BK26" s="7">
        <f t="shared" si="44"/>
        <v>4.9971436164926253</v>
      </c>
      <c r="BL26" s="7">
        <f t="shared" si="45"/>
        <v>-61.419874177163727</v>
      </c>
      <c r="BM26" s="7">
        <f t="shared" si="46"/>
        <v>61.419874177163727</v>
      </c>
      <c r="BO26" s="7">
        <f t="shared" si="47"/>
        <v>1382233.5812786187</v>
      </c>
      <c r="BP26" s="7">
        <f t="shared" si="48"/>
        <v>1.3822335812786186</v>
      </c>
      <c r="BQ26" s="7">
        <f t="shared" si="49"/>
        <v>55.350498625443237</v>
      </c>
      <c r="BR26" s="7">
        <f t="shared" si="50"/>
        <v>55.350498625443237</v>
      </c>
      <c r="BT26" s="7">
        <f t="shared" si="51"/>
        <v>1429681.7819379193</v>
      </c>
      <c r="BU26" s="7">
        <f t="shared" si="52"/>
        <v>1.4296817819379193</v>
      </c>
      <c r="BV26" s="7">
        <f t="shared" si="53"/>
        <v>53.817806518080339</v>
      </c>
      <c r="BW26" s="7">
        <f t="shared" si="54"/>
        <v>53.817806518080339</v>
      </c>
      <c r="BY26" s="7">
        <f t="shared" si="55"/>
        <v>0.25826102400034456</v>
      </c>
      <c r="BZ26" s="7">
        <f t="shared" si="56"/>
        <v>1691.336836731756</v>
      </c>
      <c r="CA26" s="7">
        <f t="shared" si="57"/>
        <v>0.30936562642089055</v>
      </c>
      <c r="CB26" s="7">
        <f t="shared" si="58"/>
        <v>0.91086385537050718</v>
      </c>
      <c r="CC26" s="7">
        <f t="shared" si="59"/>
        <v>2.7167542229818298</v>
      </c>
      <c r="CD26" s="7">
        <f t="shared" si="60"/>
        <v>8935511.1371119954</v>
      </c>
      <c r="CE26" s="7">
        <f t="shared" si="61"/>
        <v>6840617.0381643651</v>
      </c>
      <c r="CF26" s="7">
        <f t="shared" si="62"/>
        <v>6.8406170381643649</v>
      </c>
      <c r="CG26" s="7">
        <f t="shared" si="63"/>
        <v>-120.96854249901941</v>
      </c>
      <c r="CH26" s="7">
        <f t="shared" si="64"/>
        <v>120.96854249901941</v>
      </c>
      <c r="CJ26" s="7">
        <f t="shared" si="65"/>
        <v>1.5438134602341049</v>
      </c>
      <c r="CK26" s="7">
        <f t="shared" si="66"/>
        <v>7.9441638524897912E-2</v>
      </c>
      <c r="CL26" s="7">
        <f t="shared" si="67"/>
        <v>0.296879</v>
      </c>
      <c r="CM26" s="7">
        <f t="shared" si="68"/>
        <v>368.66842452293969</v>
      </c>
      <c r="CN26" s="7">
        <f t="shared" si="69"/>
        <v>110.44991320394581</v>
      </c>
      <c r="CO26" s="7">
        <f t="shared" si="70"/>
        <v>0.48858416244069475</v>
      </c>
      <c r="CP26" s="7">
        <f t="shared" si="71"/>
        <v>1.1405516859138152</v>
      </c>
      <c r="CQ26" s="7">
        <f t="shared" si="72"/>
        <v>2.1405516859138149</v>
      </c>
      <c r="CR26" s="7">
        <f t="shared" si="73"/>
        <v>18.781889920782746</v>
      </c>
      <c r="CS26" s="7">
        <f t="shared" si="74"/>
        <v>21.985178039774716</v>
      </c>
      <c r="CT26" s="7">
        <f t="shared" si="75"/>
        <v>-610.1746408148714</v>
      </c>
      <c r="CU26" s="7">
        <f t="shared" si="76"/>
        <v>610.1746408148714</v>
      </c>
      <c r="CW26" s="7">
        <f t="shared" si="77"/>
        <v>4.5835921626592881</v>
      </c>
      <c r="CX26" s="7">
        <f t="shared" si="78"/>
        <v>5.3653327850821944</v>
      </c>
      <c r="CY26" s="7">
        <f t="shared" si="79"/>
        <v>-73.313278455353625</v>
      </c>
      <c r="CZ26" s="7">
        <f t="shared" si="80"/>
        <v>73.313278455353625</v>
      </c>
      <c r="DB26" s="7">
        <f t="shared" si="81"/>
        <v>4.8778757321069701</v>
      </c>
      <c r="DC26" s="7">
        <f t="shared" si="82"/>
        <v>5.7098069937894111</v>
      </c>
      <c r="DD26" s="7">
        <f t="shared" si="83"/>
        <v>-84.440631938507025</v>
      </c>
      <c r="DE26" s="7">
        <f t="shared" si="84"/>
        <v>84.440631938507025</v>
      </c>
      <c r="DG26" s="7">
        <f t="shared" si="85"/>
        <v>8935511.1371119954</v>
      </c>
      <c r="DH26" s="7">
        <f t="shared" si="86"/>
        <v>0.17230060940112779</v>
      </c>
      <c r="DI26" s="7">
        <f t="shared" si="87"/>
        <v>1539594.0142349612</v>
      </c>
      <c r="DJ26" s="7">
        <f t="shared" si="88"/>
        <v>1.5395940142349613</v>
      </c>
      <c r="DK26" s="7">
        <f t="shared" si="89"/>
        <v>50.267374497402812</v>
      </c>
      <c r="DL26" s="7">
        <f t="shared" si="90"/>
        <v>50.267374497402812</v>
      </c>
    </row>
    <row r="27" spans="1:116" x14ac:dyDescent="0.3">
      <c r="A27" s="7">
        <v>26</v>
      </c>
      <c r="B27" s="8" t="s">
        <v>46</v>
      </c>
      <c r="C27" s="9">
        <v>90</v>
      </c>
      <c r="D27" s="7">
        <v>331</v>
      </c>
      <c r="E27" s="10">
        <v>300</v>
      </c>
      <c r="F27" s="9">
        <v>10</v>
      </c>
      <c r="G27" s="21">
        <f t="shared" si="25"/>
        <v>1.5915494309189535</v>
      </c>
      <c r="H27" s="7">
        <v>0.2</v>
      </c>
      <c r="I27" s="7">
        <v>257.877838324685</v>
      </c>
      <c r="J27" s="7">
        <v>41.098376733409999</v>
      </c>
      <c r="K27" s="7">
        <f t="shared" si="0"/>
        <v>0.15937149543523188</v>
      </c>
      <c r="L27" s="7">
        <f t="shared" si="26"/>
        <v>3.9999999999999998E-6</v>
      </c>
      <c r="M27" s="7">
        <f t="shared" si="1"/>
        <v>2.1249532724697584E-6</v>
      </c>
      <c r="N27" s="7">
        <f t="shared" si="2"/>
        <v>10598.3605506653</v>
      </c>
      <c r="O27" s="7">
        <f t="shared" si="3"/>
        <v>1.5400000000000002E-5</v>
      </c>
      <c r="P27" s="7">
        <f t="shared" si="4"/>
        <v>9.9999999999999995E-8</v>
      </c>
      <c r="Q27" s="7">
        <v>0.02</v>
      </c>
      <c r="R27" s="7">
        <f t="shared" si="5"/>
        <v>1.2987012987012987E-4</v>
      </c>
      <c r="S27" s="7">
        <f t="shared" si="6"/>
        <v>8.6364908440275823</v>
      </c>
      <c r="T27" s="9">
        <f t="shared" si="7"/>
        <v>10589.724059821272</v>
      </c>
      <c r="U27" s="11">
        <f t="shared" si="27"/>
        <v>3.5299080199404238</v>
      </c>
      <c r="V27" s="7">
        <v>22.552609987170001</v>
      </c>
      <c r="W27" s="7">
        <v>21.893053305710001</v>
      </c>
      <c r="X27" s="7">
        <f t="shared" si="8"/>
        <v>22.22283164644</v>
      </c>
      <c r="Y27" s="7">
        <v>99.4</v>
      </c>
      <c r="Z27" s="9">
        <f t="shared" si="9"/>
        <v>77.177168353560006</v>
      </c>
      <c r="AA27" s="9">
        <f t="shared" si="10"/>
        <v>7.185543367071201E-2</v>
      </c>
      <c r="AB27" s="9">
        <f t="shared" si="11"/>
        <v>997.74725838175789</v>
      </c>
      <c r="AC27" s="12">
        <v>0.99839999999999995</v>
      </c>
      <c r="AD27" s="12">
        <f t="shared" si="12"/>
        <v>2258180.3232856165</v>
      </c>
      <c r="AE27" s="12">
        <f t="shared" si="13"/>
        <v>0.59000762111999994</v>
      </c>
      <c r="AF27" s="12">
        <v>9.81</v>
      </c>
      <c r="AG27" s="7">
        <f t="shared" si="14"/>
        <v>3529908.0199404238</v>
      </c>
      <c r="AH27" s="7">
        <f t="shared" si="15"/>
        <v>3.5299080199404238</v>
      </c>
      <c r="AI27" s="7">
        <f t="shared" si="16"/>
        <v>2.6457513110645908E-2</v>
      </c>
      <c r="AJ27" s="7">
        <f t="shared" si="17"/>
        <v>1.4143549766589715E-2</v>
      </c>
      <c r="AK27" s="7">
        <f t="shared" si="18"/>
        <v>3.0000666659259424E-2</v>
      </c>
      <c r="AL27" s="7">
        <f t="shared" si="28"/>
        <v>4.5888804259225511</v>
      </c>
      <c r="AM27" s="7">
        <f t="shared" si="29"/>
        <v>2.4709356139582965</v>
      </c>
      <c r="AN27" s="7">
        <f t="shared" si="30"/>
        <v>3.5299080199404238</v>
      </c>
      <c r="AO27" s="9">
        <f t="shared" si="19"/>
        <v>4183.0300248697486</v>
      </c>
      <c r="AP27" s="9">
        <f t="shared" si="20"/>
        <v>0.60285168715830784</v>
      </c>
      <c r="AQ27" s="9">
        <f t="shared" si="21"/>
        <v>30</v>
      </c>
      <c r="AR27" s="9">
        <f t="shared" si="22"/>
        <v>9.033236739929072E-4</v>
      </c>
      <c r="AS27" s="12">
        <f t="shared" si="23"/>
        <v>1.2798654923651744E-5</v>
      </c>
      <c r="AT27" s="9">
        <f t="shared" si="24"/>
        <v>0.1595423947577122</v>
      </c>
      <c r="AU27" s="9">
        <f t="shared" si="31"/>
        <v>0.14296219355398948</v>
      </c>
      <c r="AV27" s="9">
        <f t="shared" si="32"/>
        <v>3.6896614784506236</v>
      </c>
      <c r="AY27" s="7">
        <f t="shared" si="33"/>
        <v>1169989.0405538427</v>
      </c>
      <c r="AZ27" s="7">
        <f t="shared" si="34"/>
        <v>1.1699890405538427</v>
      </c>
      <c r="BA27" s="7">
        <f t="shared" si="35"/>
        <v>66.854970895995493</v>
      </c>
      <c r="BB27" s="7">
        <f t="shared" si="36"/>
        <v>66.854970895995493</v>
      </c>
      <c r="BD27" s="7">
        <f t="shared" si="37"/>
        <v>31259249.175102666</v>
      </c>
      <c r="BE27" s="7">
        <f t="shared" si="38"/>
        <v>0.17056776057814982</v>
      </c>
      <c r="BF27" s="7">
        <f t="shared" si="39"/>
        <v>6.9516542402552034E-2</v>
      </c>
      <c r="BG27" s="7">
        <f t="shared" si="40"/>
        <v>1.3063625758937474</v>
      </c>
      <c r="BH27" s="7">
        <f t="shared" si="41"/>
        <v>0.98973665961010282</v>
      </c>
      <c r="BI27" s="7">
        <f t="shared" si="42"/>
        <v>4422949.6403417522</v>
      </c>
      <c r="BJ27" s="7">
        <f t="shared" si="43"/>
        <v>4902182.9981574845</v>
      </c>
      <c r="BK27" s="7">
        <f t="shared" si="44"/>
        <v>4.9021829981574845</v>
      </c>
      <c r="BL27" s="7">
        <f t="shared" si="45"/>
        <v>-38.875658245628202</v>
      </c>
      <c r="BM27" s="7">
        <f t="shared" si="46"/>
        <v>38.875658245628202</v>
      </c>
      <c r="BO27" s="7">
        <f t="shared" si="47"/>
        <v>1382105.2109727315</v>
      </c>
      <c r="BP27" s="7">
        <f t="shared" si="48"/>
        <v>1.3821052109727314</v>
      </c>
      <c r="BQ27" s="7">
        <f t="shared" si="49"/>
        <v>60.845857649399655</v>
      </c>
      <c r="BR27" s="7">
        <f t="shared" si="50"/>
        <v>60.845857649399655</v>
      </c>
      <c r="BT27" s="7">
        <f t="shared" si="51"/>
        <v>1428994.2480046933</v>
      </c>
      <c r="BU27" s="7">
        <f t="shared" si="52"/>
        <v>1.4289942480046933</v>
      </c>
      <c r="BV27" s="7">
        <f t="shared" si="53"/>
        <v>59.517521705032671</v>
      </c>
      <c r="BW27" s="7">
        <f t="shared" si="54"/>
        <v>59.517521705032671</v>
      </c>
      <c r="BY27" s="7">
        <f t="shared" si="55"/>
        <v>0.25825303343831124</v>
      </c>
      <c r="BZ27" s="7">
        <f t="shared" si="56"/>
        <v>1691.0752042283009</v>
      </c>
      <c r="CA27" s="7">
        <f t="shared" si="57"/>
        <v>0.30935964405387611</v>
      </c>
      <c r="CB27" s="7">
        <f t="shared" si="58"/>
        <v>0.91086692176558659</v>
      </c>
      <c r="CC27" s="7">
        <f t="shared" si="59"/>
        <v>2.7167016975623284</v>
      </c>
      <c r="CD27" s="7">
        <f t="shared" si="60"/>
        <v>8931214.0500293337</v>
      </c>
      <c r="CE27" s="7">
        <f t="shared" si="61"/>
        <v>6837085.9957816293</v>
      </c>
      <c r="CF27" s="7">
        <f t="shared" si="62"/>
        <v>6.8370859957816297</v>
      </c>
      <c r="CG27" s="7">
        <f t="shared" si="63"/>
        <v>-93.690202610350823</v>
      </c>
      <c r="CH27" s="7">
        <f t="shared" si="64"/>
        <v>93.690202610350823</v>
      </c>
      <c r="CJ27" s="7">
        <f t="shared" si="65"/>
        <v>1.5438134602341049</v>
      </c>
      <c r="CK27" s="7">
        <f t="shared" si="66"/>
        <v>7.9441638524897912E-2</v>
      </c>
      <c r="CL27" s="7">
        <f t="shared" si="67"/>
        <v>0.296879</v>
      </c>
      <c r="CM27" s="7">
        <f t="shared" si="68"/>
        <v>368.96614784506232</v>
      </c>
      <c r="CN27" s="7">
        <f t="shared" si="69"/>
        <v>110.53830100609426</v>
      </c>
      <c r="CO27" s="7">
        <f t="shared" si="70"/>
        <v>0.48848873647302476</v>
      </c>
      <c r="CP27" s="7">
        <f t="shared" si="71"/>
        <v>1.1310053236078932</v>
      </c>
      <c r="CQ27" s="7">
        <f t="shared" si="72"/>
        <v>2.1310053236078934</v>
      </c>
      <c r="CR27" s="7">
        <f t="shared" si="73"/>
        <v>18.713090283266318</v>
      </c>
      <c r="CS27" s="7">
        <f t="shared" si="74"/>
        <v>21.894110546316195</v>
      </c>
      <c r="CT27" s="7">
        <f t="shared" si="75"/>
        <v>-520.24592206472596</v>
      </c>
      <c r="CU27" s="7">
        <f t="shared" si="76"/>
        <v>520.24592206472596</v>
      </c>
      <c r="CW27" s="7">
        <f t="shared" si="77"/>
        <v>4.5535701827458972</v>
      </c>
      <c r="CX27" s="7">
        <f t="shared" si="78"/>
        <v>5.327627209205458</v>
      </c>
      <c r="CY27" s="7">
        <f t="shared" si="79"/>
        <v>-50.928216234239876</v>
      </c>
      <c r="CZ27" s="7">
        <f t="shared" si="80"/>
        <v>50.928216234239876</v>
      </c>
      <c r="DB27" s="7">
        <f t="shared" si="81"/>
        <v>4.8454181002668388</v>
      </c>
      <c r="DC27" s="7">
        <f t="shared" si="82"/>
        <v>5.6690860742134221</v>
      </c>
      <c r="DD27" s="7">
        <f t="shared" si="83"/>
        <v>-60.60152395441461</v>
      </c>
      <c r="DE27" s="7">
        <f t="shared" si="84"/>
        <v>60.60152395441461</v>
      </c>
      <c r="DG27" s="7">
        <f t="shared" si="85"/>
        <v>8931214.0500293337</v>
      </c>
      <c r="DH27" s="7">
        <f t="shared" si="86"/>
        <v>0.125</v>
      </c>
      <c r="DI27" s="7">
        <f t="shared" si="87"/>
        <v>1116401.7562536667</v>
      </c>
      <c r="DJ27" s="7">
        <f t="shared" si="88"/>
        <v>1.1164017562536668</v>
      </c>
      <c r="DK27" s="7">
        <f t="shared" si="89"/>
        <v>68.373063832056758</v>
      </c>
      <c r="DL27" s="7">
        <f t="shared" si="90"/>
        <v>68.373063832056758</v>
      </c>
    </row>
    <row r="28" spans="1:116" s="14" customFormat="1" x14ac:dyDescent="0.3">
      <c r="A28" s="7">
        <v>27</v>
      </c>
      <c r="B28" s="14" t="s">
        <v>45</v>
      </c>
      <c r="C28" s="9">
        <v>180</v>
      </c>
      <c r="D28" s="14">
        <v>330</v>
      </c>
      <c r="E28" s="15">
        <v>300</v>
      </c>
      <c r="F28" s="9">
        <v>20</v>
      </c>
      <c r="G28" s="21">
        <f t="shared" si="25"/>
        <v>3.183098861837907</v>
      </c>
      <c r="H28" s="14">
        <v>0.2</v>
      </c>
      <c r="I28" s="14">
        <v>295.033217271154</v>
      </c>
      <c r="J28" s="14">
        <v>22.94460302177</v>
      </c>
      <c r="K28" s="14">
        <f t="shared" si="0"/>
        <v>7.7769558404274436E-2</v>
      </c>
      <c r="L28" s="14">
        <f t="shared" si="26"/>
        <v>7.9999999999999996E-6</v>
      </c>
      <c r="M28" s="14">
        <f t="shared" si="1"/>
        <v>2.0738548907806516E-6</v>
      </c>
      <c r="N28" s="14">
        <f t="shared" si="2"/>
        <v>6769.4200485222455</v>
      </c>
      <c r="O28" s="14">
        <f t="shared" si="3"/>
        <v>1.5400000000000002E-5</v>
      </c>
      <c r="P28" s="14">
        <f t="shared" si="4"/>
        <v>9.9999999999999995E-8</v>
      </c>
      <c r="Q28" s="14">
        <v>0.02</v>
      </c>
      <c r="R28" s="14">
        <f t="shared" si="5"/>
        <v>1.2987012987012987E-4</v>
      </c>
      <c r="S28" s="14">
        <f t="shared" si="6"/>
        <v>11.304493414723112</v>
      </c>
      <c r="T28" s="9">
        <f t="shared" si="7"/>
        <v>6758.1155551075226</v>
      </c>
      <c r="U28" s="15">
        <f t="shared" si="27"/>
        <v>1.1263525925179205</v>
      </c>
      <c r="V28" s="14">
        <v>25.867933970100001</v>
      </c>
      <c r="W28" s="14">
        <v>26.83614464535</v>
      </c>
      <c r="X28" s="14">
        <f t="shared" si="8"/>
        <v>26.352039307725001</v>
      </c>
      <c r="Y28" s="14">
        <v>99.4</v>
      </c>
      <c r="Z28" s="9">
        <f t="shared" si="9"/>
        <v>73.047960692275012</v>
      </c>
      <c r="AA28" s="9">
        <f t="shared" si="10"/>
        <v>7.1029592138455E-2</v>
      </c>
      <c r="AB28" s="9">
        <f t="shared" si="11"/>
        <v>996.68636330195341</v>
      </c>
      <c r="AC28" s="12">
        <v>0.99839999999999995</v>
      </c>
      <c r="AD28" s="12">
        <f t="shared" si="12"/>
        <v>2258180.3232856165</v>
      </c>
      <c r="AE28" s="12">
        <f t="shared" si="13"/>
        <v>0.59000762111999994</v>
      </c>
      <c r="AF28" s="12">
        <v>9.81</v>
      </c>
      <c r="AG28" s="14">
        <f t="shared" si="14"/>
        <v>1126352.5925179205</v>
      </c>
      <c r="AH28" s="14">
        <f t="shared" si="15"/>
        <v>1.1263525925179205</v>
      </c>
      <c r="AI28" s="14">
        <f t="shared" si="16"/>
        <v>2.6457513110645908E-2</v>
      </c>
      <c r="AJ28" s="14">
        <f t="shared" si="17"/>
        <v>1.4143549766589715E-2</v>
      </c>
      <c r="AK28" s="14">
        <f t="shared" si="18"/>
        <v>3.0000666659259424E-2</v>
      </c>
      <c r="AL28" s="14">
        <f t="shared" si="28"/>
        <v>1.4642583702732967</v>
      </c>
      <c r="AM28" s="14">
        <f t="shared" si="29"/>
        <v>0.7884468147625443</v>
      </c>
      <c r="AN28" s="14">
        <f t="shared" si="30"/>
        <v>1.1263525925179205</v>
      </c>
      <c r="AO28" s="9">
        <f t="shared" si="19"/>
        <v>4181.5375455203848</v>
      </c>
      <c r="AP28" s="9">
        <f t="shared" si="20"/>
        <v>0.60993018672023613</v>
      </c>
      <c r="AQ28" s="9">
        <f t="shared" si="21"/>
        <v>15</v>
      </c>
      <c r="AR28" s="9">
        <f t="shared" si="22"/>
        <v>8.394107175524882E-4</v>
      </c>
      <c r="AS28" s="12">
        <f t="shared" si="23"/>
        <v>1.2798654923651744E-5</v>
      </c>
      <c r="AT28" s="9">
        <f t="shared" si="24"/>
        <v>0.17376792592458934</v>
      </c>
      <c r="AU28" s="9">
        <f t="shared" si="31"/>
        <v>0.1352650127665696</v>
      </c>
      <c r="AV28" s="9">
        <f t="shared" si="32"/>
        <v>7.4181483549349325</v>
      </c>
      <c r="AW28" s="13"/>
      <c r="AX28" s="13"/>
      <c r="AY28" s="14">
        <f t="shared" si="33"/>
        <v>1166302.3349743348</v>
      </c>
      <c r="AZ28" s="14">
        <f t="shared" si="34"/>
        <v>1.1663023349743349</v>
      </c>
      <c r="BA28" s="14">
        <f t="shared" si="35"/>
        <v>-3.5468238562054673</v>
      </c>
      <c r="BB28" s="14">
        <f t="shared" si="36"/>
        <v>3.5468238562054673</v>
      </c>
      <c r="BD28" s="14">
        <f t="shared" si="37"/>
        <v>31160749.407711234</v>
      </c>
      <c r="BE28" s="14">
        <f t="shared" si="38"/>
        <v>0.2445865354233451</v>
      </c>
      <c r="BF28" s="14">
        <f t="shared" si="39"/>
        <v>3.0068888329978703E-2</v>
      </c>
      <c r="BG28" s="14">
        <f t="shared" si="40"/>
        <v>1.2888266492118794</v>
      </c>
      <c r="BH28" s="7">
        <f t="shared" si="41"/>
        <v>0.8</v>
      </c>
      <c r="BI28" s="14">
        <f t="shared" si="42"/>
        <v>4082690.1954897004</v>
      </c>
      <c r="BJ28" s="14">
        <f t="shared" si="43"/>
        <v>4318978.5433660364</v>
      </c>
      <c r="BK28" s="14">
        <f t="shared" si="44"/>
        <v>4.3189785433660361</v>
      </c>
      <c r="BL28" s="14">
        <f t="shared" si="45"/>
        <v>-283.44818239474336</v>
      </c>
      <c r="BM28" s="7">
        <f t="shared" si="46"/>
        <v>283.44818239474336</v>
      </c>
      <c r="BO28" s="14">
        <f t="shared" si="47"/>
        <v>1381222.753905697</v>
      </c>
      <c r="BP28" s="14">
        <f t="shared" si="48"/>
        <v>1.3812227539056969</v>
      </c>
      <c r="BQ28" s="14">
        <f t="shared" si="49"/>
        <v>-22.627919807777364</v>
      </c>
      <c r="BR28" s="14">
        <f t="shared" si="50"/>
        <v>22.627919807777364</v>
      </c>
      <c r="BT28" s="14">
        <f t="shared" si="51"/>
        <v>1424491.4014953708</v>
      </c>
      <c r="BU28" s="14">
        <f t="shared" si="52"/>
        <v>1.4244914014953707</v>
      </c>
      <c r="BV28" s="14">
        <f t="shared" si="53"/>
        <v>-26.469403183151702</v>
      </c>
      <c r="BW28" s="14">
        <f t="shared" si="54"/>
        <v>26.469403183151702</v>
      </c>
      <c r="BY28" s="14">
        <f t="shared" si="55"/>
        <v>0.25819809047104814</v>
      </c>
      <c r="BZ28" s="14">
        <f t="shared" si="56"/>
        <v>1689.2771002007789</v>
      </c>
      <c r="CA28" s="14">
        <f t="shared" si="57"/>
        <v>0.30931850752137952</v>
      </c>
      <c r="CB28" s="14">
        <f t="shared" si="58"/>
        <v>0.91088800563055716</v>
      </c>
      <c r="CC28" s="14">
        <f t="shared" si="59"/>
        <v>2.7163405172128767</v>
      </c>
      <c r="CD28" s="14">
        <f t="shared" si="60"/>
        <v>8903071.259346066</v>
      </c>
      <c r="CE28" s="14">
        <f t="shared" si="61"/>
        <v>6813887.3685751678</v>
      </c>
      <c r="CF28" s="14">
        <f t="shared" si="62"/>
        <v>6.813887368575168</v>
      </c>
      <c r="CG28" s="14">
        <f t="shared" si="63"/>
        <v>-504.95154127030224</v>
      </c>
      <c r="CH28" s="14">
        <f t="shared" si="64"/>
        <v>504.95154127030224</v>
      </c>
      <c r="CJ28" s="14">
        <f t="shared" si="65"/>
        <v>1.5438134602341049</v>
      </c>
      <c r="CK28" s="14">
        <f t="shared" si="66"/>
        <v>7.9441638524897912E-2</v>
      </c>
      <c r="CL28" s="14">
        <f t="shared" si="67"/>
        <v>0.296879</v>
      </c>
      <c r="CM28" s="14">
        <f t="shared" si="68"/>
        <v>370.9074177467466</v>
      </c>
      <c r="CN28" s="14">
        <f t="shared" si="69"/>
        <v>111.11462327323639</v>
      </c>
      <c r="CO28" s="14">
        <f t="shared" si="70"/>
        <v>0.48792497987296635</v>
      </c>
      <c r="CP28" s="14">
        <f t="shared" si="71"/>
        <v>1.0692577425161855</v>
      </c>
      <c r="CQ28" s="14">
        <f t="shared" si="72"/>
        <v>2.0692577425161858</v>
      </c>
      <c r="CR28" s="14">
        <f t="shared" si="73"/>
        <v>18.265602413765194</v>
      </c>
      <c r="CS28" s="14">
        <f t="shared" si="74"/>
        <v>21.303214744887192</v>
      </c>
      <c r="CT28" s="14">
        <f t="shared" si="75"/>
        <v>-1791.3451157656259</v>
      </c>
      <c r="CU28" s="14">
        <f t="shared" si="76"/>
        <v>1791.3451157656259</v>
      </c>
      <c r="CW28" s="14">
        <f t="shared" si="77"/>
        <v>4.3593832334631557</v>
      </c>
      <c r="CX28" s="14">
        <f t="shared" si="78"/>
        <v>5.0843588442360446</v>
      </c>
      <c r="CY28" s="14">
        <f t="shared" si="79"/>
        <v>-351.4002877971048</v>
      </c>
      <c r="CZ28" s="14">
        <f t="shared" si="80"/>
        <v>351.4002877971048</v>
      </c>
      <c r="DB28" s="14">
        <f t="shared" si="81"/>
        <v>4.6354763245550306</v>
      </c>
      <c r="DC28" s="14">
        <f t="shared" si="82"/>
        <v>5.4063668610467799</v>
      </c>
      <c r="DD28" s="14">
        <f t="shared" si="83"/>
        <v>-379.98885046831043</v>
      </c>
      <c r="DE28" s="14">
        <f t="shared" si="84"/>
        <v>379.98885046831043</v>
      </c>
      <c r="DG28" s="14">
        <f t="shared" si="85"/>
        <v>8903071.259346066</v>
      </c>
      <c r="DH28" s="14">
        <f t="shared" si="86"/>
        <v>3.952847075210475E-2</v>
      </c>
      <c r="DI28" s="14">
        <f t="shared" si="87"/>
        <v>351924.79187896539</v>
      </c>
      <c r="DJ28" s="14">
        <f t="shared" si="88"/>
        <v>0.35192479187896542</v>
      </c>
      <c r="DK28" s="14">
        <f t="shared" si="89"/>
        <v>68.755361845241524</v>
      </c>
      <c r="DL28" s="14">
        <f t="shared" si="90"/>
        <v>68.755361845241524</v>
      </c>
    </row>
    <row r="29" spans="1:116" s="14" customFormat="1" x14ac:dyDescent="0.3">
      <c r="A29" s="7">
        <v>28</v>
      </c>
      <c r="B29" s="14" t="s">
        <v>44</v>
      </c>
      <c r="C29" s="9">
        <v>0</v>
      </c>
      <c r="D29" s="14">
        <v>330</v>
      </c>
      <c r="E29" s="15">
        <v>300</v>
      </c>
      <c r="F29" s="9">
        <v>20</v>
      </c>
      <c r="G29" s="21">
        <f t="shared" si="25"/>
        <v>3.183098861837907</v>
      </c>
      <c r="H29" s="14">
        <v>0.2</v>
      </c>
      <c r="I29" s="14">
        <v>438.552558928135</v>
      </c>
      <c r="J29" s="14">
        <v>30.664932038780002</v>
      </c>
      <c r="K29" s="14">
        <f t="shared" si="0"/>
        <v>6.9923048935635154E-2</v>
      </c>
      <c r="L29" s="14">
        <f t="shared" si="26"/>
        <v>7.9999999999999996E-6</v>
      </c>
      <c r="M29" s="14">
        <f t="shared" si="1"/>
        <v>1.8646146382836041E-6</v>
      </c>
      <c r="N29" s="14">
        <f t="shared" si="2"/>
        <v>13448.184414964322</v>
      </c>
      <c r="O29" s="14">
        <f t="shared" si="3"/>
        <v>1.5400000000000002E-5</v>
      </c>
      <c r="P29" s="14">
        <f t="shared" si="4"/>
        <v>9.9999999999999995E-8</v>
      </c>
      <c r="Q29" s="14">
        <v>0.02</v>
      </c>
      <c r="R29" s="14">
        <f t="shared" si="5"/>
        <v>1.2987012987012987E-4</v>
      </c>
      <c r="S29" s="14">
        <f t="shared" si="6"/>
        <v>24.977707395118873</v>
      </c>
      <c r="T29" s="9">
        <f t="shared" si="7"/>
        <v>13423.206707569203</v>
      </c>
      <c r="U29" s="15">
        <f t="shared" si="27"/>
        <v>2.2372011179282003</v>
      </c>
      <c r="V29" s="14">
        <v>25.32410593933</v>
      </c>
      <c r="W29" s="14">
        <v>25.38210483868</v>
      </c>
      <c r="X29" s="14">
        <f t="shared" si="8"/>
        <v>25.353105389005002</v>
      </c>
      <c r="Y29" s="14">
        <v>99.4</v>
      </c>
      <c r="Z29" s="9">
        <f t="shared" si="9"/>
        <v>74.046894610994997</v>
      </c>
      <c r="AA29" s="9">
        <f t="shared" si="10"/>
        <v>7.1229378922199008E-2</v>
      </c>
      <c r="AB29" s="9">
        <f t="shared" si="11"/>
        <v>996.9523948221447</v>
      </c>
      <c r="AC29" s="12">
        <v>0.99839999999999995</v>
      </c>
      <c r="AD29" s="12">
        <f t="shared" si="12"/>
        <v>2258180.3232856165</v>
      </c>
      <c r="AE29" s="12">
        <f t="shared" si="13"/>
        <v>0.59000762111999994</v>
      </c>
      <c r="AF29" s="12">
        <v>9.81</v>
      </c>
      <c r="AG29" s="14">
        <f t="shared" si="14"/>
        <v>2237201.1179282004</v>
      </c>
      <c r="AH29" s="14">
        <f t="shared" si="15"/>
        <v>2.2372011179282003</v>
      </c>
      <c r="AI29" s="14">
        <f t="shared" si="16"/>
        <v>2.6457513110645908E-2</v>
      </c>
      <c r="AJ29" s="14">
        <f t="shared" si="17"/>
        <v>1.4143549766589715E-2</v>
      </c>
      <c r="AK29" s="14">
        <f t="shared" si="18"/>
        <v>3.0000666659259424E-2</v>
      </c>
      <c r="AL29" s="14">
        <f t="shared" si="28"/>
        <v>2.9083614533066604</v>
      </c>
      <c r="AM29" s="14">
        <f t="shared" si="29"/>
        <v>1.5660407825497402</v>
      </c>
      <c r="AN29" s="14">
        <f t="shared" si="30"/>
        <v>2.2372011179282003</v>
      </c>
      <c r="AO29" s="9">
        <f t="shared" si="19"/>
        <v>4181.7977503994607</v>
      </c>
      <c r="AP29" s="9">
        <f t="shared" si="20"/>
        <v>0.608249032327151</v>
      </c>
      <c r="AQ29" s="9">
        <f t="shared" si="21"/>
        <v>15</v>
      </c>
      <c r="AR29" s="9">
        <f t="shared" si="22"/>
        <v>8.5459105378619016E-4</v>
      </c>
      <c r="AS29" s="12">
        <f t="shared" si="23"/>
        <v>1.2798654923651744E-5</v>
      </c>
      <c r="AT29" s="9">
        <f t="shared" si="24"/>
        <v>0.17020019757469826</v>
      </c>
      <c r="AU29" s="9">
        <f t="shared" si="31"/>
        <v>0.13712329972736201</v>
      </c>
      <c r="AV29" s="9">
        <f t="shared" si="32"/>
        <v>7.4087268433258897</v>
      </c>
      <c r="AW29" s="13"/>
      <c r="AX29" s="13"/>
      <c r="AY29" s="14">
        <f t="shared" si="33"/>
        <v>1167199.5127658686</v>
      </c>
      <c r="AZ29" s="14">
        <f t="shared" si="34"/>
        <v>1.1671995127658685</v>
      </c>
      <c r="BA29" s="14">
        <f t="shared" si="35"/>
        <v>47.827689544211644</v>
      </c>
      <c r="BB29" s="14">
        <f t="shared" si="36"/>
        <v>47.827689544211644</v>
      </c>
      <c r="BD29" s="14">
        <f t="shared" si="37"/>
        <v>31184719.806721676</v>
      </c>
      <c r="BE29" s="14">
        <f t="shared" si="38"/>
        <v>0.2445865354233451</v>
      </c>
      <c r="BF29" s="14">
        <f t="shared" si="39"/>
        <v>3.0114779679490826E-2</v>
      </c>
      <c r="BG29" s="14">
        <f t="shared" si="40"/>
        <v>1.2930493987828438</v>
      </c>
      <c r="BH29" s="7">
        <f t="shared" si="41"/>
        <v>1.0683281572999748</v>
      </c>
      <c r="BI29" s="14">
        <f t="shared" si="42"/>
        <v>4162360.3998249141</v>
      </c>
      <c r="BJ29" s="14">
        <f t="shared" si="43"/>
        <v>4479663.1771550765</v>
      </c>
      <c r="BK29" s="14">
        <f t="shared" si="44"/>
        <v>4.4796631771550768</v>
      </c>
      <c r="BL29" s="14">
        <f t="shared" si="45"/>
        <v>-100.2351572800727</v>
      </c>
      <c r="BM29" s="7">
        <f t="shared" si="46"/>
        <v>100.2351572800727</v>
      </c>
      <c r="BO29" s="14">
        <f t="shared" si="47"/>
        <v>1381444.0753644612</v>
      </c>
      <c r="BP29" s="14">
        <f t="shared" si="48"/>
        <v>1.3814440753644612</v>
      </c>
      <c r="BQ29" s="14">
        <f t="shared" si="49"/>
        <v>38.251234352869808</v>
      </c>
      <c r="BR29" s="14">
        <f t="shared" si="50"/>
        <v>38.251234352869808</v>
      </c>
      <c r="BT29" s="14">
        <f t="shared" si="51"/>
        <v>1425587.1911644198</v>
      </c>
      <c r="BU29" s="14">
        <f t="shared" si="52"/>
        <v>1.4255871911644198</v>
      </c>
      <c r="BV29" s="14">
        <f t="shared" si="53"/>
        <v>36.27809409980047</v>
      </c>
      <c r="BW29" s="14">
        <f t="shared" si="54"/>
        <v>36.27809409980047</v>
      </c>
      <c r="BY29" s="14">
        <f t="shared" si="55"/>
        <v>0.25821187243909005</v>
      </c>
      <c r="BZ29" s="14">
        <f t="shared" si="56"/>
        <v>1689.7279952581789</v>
      </c>
      <c r="CA29" s="14">
        <f t="shared" si="57"/>
        <v>0.30932882657310357</v>
      </c>
      <c r="CB29" s="14">
        <f t="shared" si="58"/>
        <v>0.91088271702629908</v>
      </c>
      <c r="CC29" s="14">
        <f t="shared" si="59"/>
        <v>2.7164311188809349</v>
      </c>
      <c r="CD29" s="14">
        <f t="shared" si="60"/>
        <v>8909919.9447776228</v>
      </c>
      <c r="CE29" s="14">
        <f t="shared" si="61"/>
        <v>6819544.3005705588</v>
      </c>
      <c r="CF29" s="14">
        <f t="shared" si="62"/>
        <v>6.8195443005705592</v>
      </c>
      <c r="CG29" s="14">
        <f t="shared" si="63"/>
        <v>-204.8248208853891</v>
      </c>
      <c r="CH29" s="14">
        <f t="shared" si="64"/>
        <v>204.8248208853891</v>
      </c>
      <c r="CJ29" s="14">
        <f t="shared" si="65"/>
        <v>1.5438134602341049</v>
      </c>
      <c r="CK29" s="14">
        <f t="shared" si="66"/>
        <v>7.9441638524897912E-2</v>
      </c>
      <c r="CL29" s="14">
        <f t="shared" si="67"/>
        <v>0.296879</v>
      </c>
      <c r="CM29" s="14">
        <f t="shared" si="68"/>
        <v>370.43634216629448</v>
      </c>
      <c r="CN29" s="14">
        <f t="shared" si="69"/>
        <v>110.97477082598733</v>
      </c>
      <c r="CO29" s="14">
        <f t="shared" si="70"/>
        <v>0.4880530210716173</v>
      </c>
      <c r="CP29" s="14">
        <f t="shared" si="71"/>
        <v>1.084164318476033</v>
      </c>
      <c r="CQ29" s="14">
        <f t="shared" si="72"/>
        <v>2.084164318476033</v>
      </c>
      <c r="CR29" s="14">
        <f t="shared" si="73"/>
        <v>18.374029374129162</v>
      </c>
      <c r="CS29" s="14">
        <f t="shared" si="74"/>
        <v>21.446158133029314</v>
      </c>
      <c r="CT29" s="14">
        <f t="shared" si="75"/>
        <v>-858.61556483084132</v>
      </c>
      <c r="CU29" s="14">
        <f t="shared" si="76"/>
        <v>858.61556483084132</v>
      </c>
      <c r="CW29" s="14">
        <f t="shared" si="77"/>
        <v>4.4062620169790065</v>
      </c>
      <c r="CX29" s="14">
        <f t="shared" si="78"/>
        <v>5.1429868793366493</v>
      </c>
      <c r="CY29" s="14">
        <f t="shared" si="79"/>
        <v>-129.88486989937692</v>
      </c>
      <c r="CZ29" s="14">
        <f t="shared" si="80"/>
        <v>129.88486989937692</v>
      </c>
      <c r="DB29" s="14">
        <f t="shared" si="81"/>
        <v>4.6861586828185118</v>
      </c>
      <c r="DC29" s="14">
        <f t="shared" si="82"/>
        <v>5.4696821313293116</v>
      </c>
      <c r="DD29" s="14">
        <f t="shared" si="83"/>
        <v>-144.48772564509568</v>
      </c>
      <c r="DE29" s="14">
        <f t="shared" si="84"/>
        <v>144.48772564509568</v>
      </c>
      <c r="DG29" s="14">
        <f t="shared" si="85"/>
        <v>8909919.9447776228</v>
      </c>
      <c r="DH29" s="14">
        <f t="shared" si="86"/>
        <v>0.17230060940112779</v>
      </c>
      <c r="DI29" s="14">
        <f t="shared" si="87"/>
        <v>1535184.6362004473</v>
      </c>
      <c r="DJ29" s="14">
        <f t="shared" si="88"/>
        <v>1.5351846362004473</v>
      </c>
      <c r="DK29" s="14">
        <f t="shared" si="89"/>
        <v>31.379229882464376</v>
      </c>
      <c r="DL29" s="14">
        <f t="shared" si="90"/>
        <v>31.379229882464376</v>
      </c>
    </row>
    <row r="30" spans="1:116" x14ac:dyDescent="0.3">
      <c r="A30" s="7">
        <v>29</v>
      </c>
      <c r="B30" s="8" t="s">
        <v>46</v>
      </c>
      <c r="C30" s="9">
        <v>90</v>
      </c>
      <c r="D30" s="7">
        <v>329</v>
      </c>
      <c r="E30" s="10">
        <v>300</v>
      </c>
      <c r="F30" s="9">
        <v>20</v>
      </c>
      <c r="G30" s="21">
        <f t="shared" si="25"/>
        <v>3.183098861837907</v>
      </c>
      <c r="H30" s="7">
        <v>0.2</v>
      </c>
      <c r="I30" s="7">
        <v>525.97794752550305</v>
      </c>
      <c r="J30" s="7">
        <v>33.219401586330001</v>
      </c>
      <c r="K30" s="7">
        <f t="shared" si="0"/>
        <v>6.3157403732633288E-2</v>
      </c>
      <c r="L30" s="7">
        <f t="shared" si="26"/>
        <v>7.9999999999999996E-6</v>
      </c>
      <c r="M30" s="7">
        <f t="shared" si="1"/>
        <v>1.6841974328702208E-6</v>
      </c>
      <c r="N30" s="7">
        <f t="shared" si="2"/>
        <v>17472.672664403293</v>
      </c>
      <c r="O30" s="7">
        <f t="shared" si="3"/>
        <v>1.5400000000000002E-5</v>
      </c>
      <c r="P30" s="7">
        <f t="shared" si="4"/>
        <v>9.9999999999999995E-8</v>
      </c>
      <c r="Q30" s="7">
        <v>0.02</v>
      </c>
      <c r="R30" s="7">
        <f t="shared" si="5"/>
        <v>1.2987012987012987E-4</v>
      </c>
      <c r="S30" s="7">
        <f t="shared" si="6"/>
        <v>35.92893523157673</v>
      </c>
      <c r="T30" s="9">
        <f t="shared" si="7"/>
        <v>17436.743729171718</v>
      </c>
      <c r="U30" s="11">
        <f t="shared" si="27"/>
        <v>2.9061239548619531</v>
      </c>
      <c r="V30" s="7">
        <v>33.569603922989998</v>
      </c>
      <c r="W30" s="7">
        <v>34.274995287469999</v>
      </c>
      <c r="X30" s="7">
        <f t="shared" si="8"/>
        <v>33.922299605229995</v>
      </c>
      <c r="Y30" s="7">
        <v>99.4</v>
      </c>
      <c r="Z30" s="9">
        <f t="shared" si="9"/>
        <v>65.477700394770011</v>
      </c>
      <c r="AA30" s="9">
        <f t="shared" si="10"/>
        <v>6.9515540078954011E-2</v>
      </c>
      <c r="AB30" s="9">
        <f t="shared" si="11"/>
        <v>994.47567305237749</v>
      </c>
      <c r="AC30" s="12">
        <v>0.99839999999999995</v>
      </c>
      <c r="AD30" s="12">
        <f t="shared" si="12"/>
        <v>2258180.3232856165</v>
      </c>
      <c r="AE30" s="12">
        <f t="shared" si="13"/>
        <v>0.59000762111999994</v>
      </c>
      <c r="AF30" s="12">
        <v>9.81</v>
      </c>
      <c r="AG30" s="7">
        <f t="shared" si="14"/>
        <v>2906123.9548619529</v>
      </c>
      <c r="AH30" s="7">
        <f t="shared" si="15"/>
        <v>2.9061239548619531</v>
      </c>
      <c r="AI30" s="7">
        <f t="shared" si="16"/>
        <v>2.6457513110645908E-2</v>
      </c>
      <c r="AJ30" s="7">
        <f t="shared" si="17"/>
        <v>1.4143549766589715E-2</v>
      </c>
      <c r="AK30" s="7">
        <f t="shared" si="18"/>
        <v>3.0000666659259424E-2</v>
      </c>
      <c r="AL30" s="7">
        <f t="shared" si="28"/>
        <v>3.7779611413205392</v>
      </c>
      <c r="AM30" s="7">
        <f t="shared" si="29"/>
        <v>2.034286768403367</v>
      </c>
      <c r="AN30" s="7">
        <f t="shared" si="30"/>
        <v>2.9061239548619531</v>
      </c>
      <c r="AO30" s="9">
        <f t="shared" si="19"/>
        <v>4181.4428976954614</v>
      </c>
      <c r="AP30" s="9">
        <f t="shared" si="20"/>
        <v>0.62202183502643604</v>
      </c>
      <c r="AQ30" s="9">
        <f t="shared" si="21"/>
        <v>15</v>
      </c>
      <c r="AR30" s="9">
        <f t="shared" si="22"/>
        <v>7.3020736978181332E-4</v>
      </c>
      <c r="AS30" s="12">
        <f t="shared" si="23"/>
        <v>1.2798654923651744E-5</v>
      </c>
      <c r="AT30" s="9">
        <f t="shared" si="24"/>
        <v>0.20371980317146401</v>
      </c>
      <c r="AU30" s="9">
        <f t="shared" si="31"/>
        <v>0.12124419934488688</v>
      </c>
      <c r="AV30" s="9">
        <f t="shared" si="32"/>
        <v>7.4901715084847815</v>
      </c>
      <c r="AY30" s="7">
        <f t="shared" si="33"/>
        <v>1159392.6934875732</v>
      </c>
      <c r="AZ30" s="7">
        <f t="shared" si="34"/>
        <v>1.1593926934875731</v>
      </c>
      <c r="BA30" s="7">
        <f t="shared" si="35"/>
        <v>60.10518782077736</v>
      </c>
      <c r="BB30" s="7">
        <f t="shared" si="36"/>
        <v>60.10518782077736</v>
      </c>
      <c r="BD30" s="7">
        <f t="shared" si="37"/>
        <v>30976140.665698517</v>
      </c>
      <c r="BE30" s="7">
        <f t="shared" si="38"/>
        <v>0.2445865354233451</v>
      </c>
      <c r="BF30" s="7">
        <f t="shared" si="39"/>
        <v>2.9722263150287163E-2</v>
      </c>
      <c r="BG30" s="7">
        <f t="shared" si="40"/>
        <v>1.2571885545645567</v>
      </c>
      <c r="BH30" s="7">
        <f t="shared" si="41"/>
        <v>0.98973665961010282</v>
      </c>
      <c r="BI30" s="7">
        <f t="shared" si="42"/>
        <v>3528735.7883453197</v>
      </c>
      <c r="BJ30" s="7">
        <f t="shared" si="43"/>
        <v>3808931.7058898839</v>
      </c>
      <c r="BK30" s="7">
        <f t="shared" si="44"/>
        <v>3.8089317058898837</v>
      </c>
      <c r="BL30" s="7">
        <f t="shared" si="45"/>
        <v>-31.065700054449874</v>
      </c>
      <c r="BM30" s="7">
        <f t="shared" si="46"/>
        <v>31.065700054449874</v>
      </c>
      <c r="BO30" s="7">
        <f t="shared" si="47"/>
        <v>1379382.6834732976</v>
      </c>
      <c r="BP30" s="7">
        <f t="shared" si="48"/>
        <v>1.3793826834732976</v>
      </c>
      <c r="BQ30" s="7">
        <f t="shared" si="49"/>
        <v>52.535311469919002</v>
      </c>
      <c r="BR30" s="7">
        <f t="shared" si="50"/>
        <v>52.535311469919002</v>
      </c>
      <c r="BT30" s="7">
        <f t="shared" si="51"/>
        <v>1416052.1447176468</v>
      </c>
      <c r="BU30" s="7">
        <f t="shared" si="52"/>
        <v>1.4160521447176468</v>
      </c>
      <c r="BV30" s="7">
        <f t="shared" si="53"/>
        <v>51.273511842170805</v>
      </c>
      <c r="BW30" s="7">
        <f t="shared" si="54"/>
        <v>51.273511842170805</v>
      </c>
      <c r="BY30" s="7">
        <f t="shared" si="55"/>
        <v>0.25808344997500982</v>
      </c>
      <c r="BZ30" s="7">
        <f t="shared" si="56"/>
        <v>1685.5302159734542</v>
      </c>
      <c r="CA30" s="7">
        <f t="shared" si="57"/>
        <v>0.30923266408096411</v>
      </c>
      <c r="CB30" s="7">
        <f t="shared" si="58"/>
        <v>0.9109319944234463</v>
      </c>
      <c r="CC30" s="7">
        <f t="shared" si="59"/>
        <v>2.7155868086840615</v>
      </c>
      <c r="CD30" s="7">
        <f t="shared" si="60"/>
        <v>8850325.9044852909</v>
      </c>
      <c r="CE30" s="7">
        <f t="shared" si="61"/>
        <v>6770087.3437648686</v>
      </c>
      <c r="CF30" s="7">
        <f t="shared" si="62"/>
        <v>6.7700873437648683</v>
      </c>
      <c r="CG30" s="7">
        <f t="shared" si="63"/>
        <v>-132.95934546902222</v>
      </c>
      <c r="CH30" s="7">
        <f t="shared" si="64"/>
        <v>132.95934546902222</v>
      </c>
      <c r="CJ30" s="7">
        <f t="shared" si="65"/>
        <v>1.5438134602341049</v>
      </c>
      <c r="CK30" s="7">
        <f t="shared" si="66"/>
        <v>7.9441638524897912E-2</v>
      </c>
      <c r="CL30" s="7">
        <f t="shared" si="67"/>
        <v>0.296879</v>
      </c>
      <c r="CM30" s="7">
        <f t="shared" si="68"/>
        <v>374.50857542423904</v>
      </c>
      <c r="CN30" s="7">
        <f t="shared" si="69"/>
        <v>112.18373136337266</v>
      </c>
      <c r="CO30" s="7">
        <f t="shared" si="70"/>
        <v>0.48710205111513144</v>
      </c>
      <c r="CP30" s="7">
        <f t="shared" si="71"/>
        <v>0.95682966493783572</v>
      </c>
      <c r="CQ30" s="7">
        <f t="shared" si="72"/>
        <v>1.9568296649378358</v>
      </c>
      <c r="CR30" s="7">
        <f t="shared" si="73"/>
        <v>17.439382278768914</v>
      </c>
      <c r="CS30" s="7">
        <f t="shared" si="74"/>
        <v>20.219092392941342</v>
      </c>
      <c r="CT30" s="7">
        <f t="shared" si="75"/>
        <v>-595.74088053314949</v>
      </c>
      <c r="CU30" s="7">
        <f t="shared" si="76"/>
        <v>595.74088053314949</v>
      </c>
      <c r="CW30" s="7">
        <f t="shared" si="77"/>
        <v>4.0058240881268699</v>
      </c>
      <c r="CX30" s="7">
        <f t="shared" si="78"/>
        <v>4.6443231791708133</v>
      </c>
      <c r="CY30" s="7">
        <f t="shared" si="79"/>
        <v>-59.811599618827273</v>
      </c>
      <c r="CZ30" s="7">
        <f t="shared" si="80"/>
        <v>59.811599618827273</v>
      </c>
      <c r="DB30" s="7">
        <f t="shared" si="81"/>
        <v>4.253220860788641</v>
      </c>
      <c r="DC30" s="7">
        <f t="shared" si="82"/>
        <v>4.9311531897872767</v>
      </c>
      <c r="DD30" s="7">
        <f t="shared" si="83"/>
        <v>-69.681447397914482</v>
      </c>
      <c r="DE30" s="7">
        <f t="shared" si="84"/>
        <v>69.681447397914482</v>
      </c>
      <c r="DG30" s="7">
        <f t="shared" si="85"/>
        <v>8850325.9044852909</v>
      </c>
      <c r="DH30" s="7">
        <f t="shared" si="86"/>
        <v>0.125</v>
      </c>
      <c r="DI30" s="7">
        <f t="shared" si="87"/>
        <v>1106290.7380606614</v>
      </c>
      <c r="DJ30" s="7">
        <f t="shared" si="88"/>
        <v>1.1062907380606612</v>
      </c>
      <c r="DK30" s="7">
        <f t="shared" si="89"/>
        <v>61.93243112669596</v>
      </c>
      <c r="DL30" s="7">
        <f t="shared" si="90"/>
        <v>61.93243112669596</v>
      </c>
    </row>
    <row r="31" spans="1:116" s="14" customFormat="1" x14ac:dyDescent="0.3">
      <c r="A31" s="7">
        <v>30</v>
      </c>
      <c r="B31" s="14" t="s">
        <v>41</v>
      </c>
      <c r="C31" s="9">
        <v>180</v>
      </c>
      <c r="D31" s="14">
        <v>332</v>
      </c>
      <c r="E31" s="15">
        <v>300</v>
      </c>
      <c r="F31" s="9">
        <v>10</v>
      </c>
      <c r="G31" s="21">
        <f t="shared" si="25"/>
        <v>1.5915494309189535</v>
      </c>
      <c r="H31" s="14">
        <v>0.2</v>
      </c>
      <c r="I31" s="14">
        <v>158.54375362457</v>
      </c>
      <c r="J31" s="14">
        <v>23.844126093130001</v>
      </c>
      <c r="K31" s="14">
        <f t="shared" si="0"/>
        <v>0.15039461062334028</v>
      </c>
      <c r="L31" s="14">
        <f t="shared" si="26"/>
        <v>3.9999999999999998E-6</v>
      </c>
      <c r="M31" s="14">
        <f t="shared" si="1"/>
        <v>2.0052614749778702E-6</v>
      </c>
      <c r="N31" s="14">
        <f t="shared" si="2"/>
        <v>3780.3372527023839</v>
      </c>
      <c r="O31" s="14">
        <f t="shared" si="3"/>
        <v>1.5400000000000002E-5</v>
      </c>
      <c r="P31" s="14">
        <f t="shared" si="4"/>
        <v>9.9999999999999995E-8</v>
      </c>
      <c r="Q31" s="14">
        <v>0.02</v>
      </c>
      <c r="R31" s="14">
        <f t="shared" si="5"/>
        <v>1.2987012987012987E-4</v>
      </c>
      <c r="S31" s="14">
        <f t="shared" si="6"/>
        <v>3.2644314043335525</v>
      </c>
      <c r="T31" s="9">
        <f t="shared" si="7"/>
        <v>3777.0728212980503</v>
      </c>
      <c r="U31" s="15">
        <f t="shared" si="27"/>
        <v>1.2590242737660167</v>
      </c>
      <c r="V31" s="14">
        <v>20.045144921049999</v>
      </c>
      <c r="W31" s="14">
        <v>20.716780570019999</v>
      </c>
      <c r="X31" s="14">
        <f t="shared" si="8"/>
        <v>20.380962745535001</v>
      </c>
      <c r="Y31" s="14">
        <v>99.4</v>
      </c>
      <c r="Z31" s="9">
        <f t="shared" si="9"/>
        <v>79.019037254465005</v>
      </c>
      <c r="AA31" s="9">
        <f t="shared" si="10"/>
        <v>7.2223807450893004E-2</v>
      </c>
      <c r="AB31" s="9">
        <f t="shared" si="11"/>
        <v>998.18748601539187</v>
      </c>
      <c r="AC31" s="12">
        <v>0.99839999999999995</v>
      </c>
      <c r="AD31" s="12">
        <f t="shared" si="12"/>
        <v>2258180.3232856165</v>
      </c>
      <c r="AE31" s="12">
        <f t="shared" si="13"/>
        <v>0.59000762111999994</v>
      </c>
      <c r="AF31" s="12">
        <v>9.81</v>
      </c>
      <c r="AG31" s="14">
        <f t="shared" si="14"/>
        <v>1259024.2737660166</v>
      </c>
      <c r="AH31" s="14">
        <f t="shared" si="15"/>
        <v>1.2590242737660167</v>
      </c>
      <c r="AI31" s="14">
        <f t="shared" si="16"/>
        <v>2.6457513110645908E-2</v>
      </c>
      <c r="AJ31" s="14">
        <f t="shared" si="17"/>
        <v>1.4143549766589715E-2</v>
      </c>
      <c r="AK31" s="14">
        <f t="shared" si="18"/>
        <v>3.0000666659259424E-2</v>
      </c>
      <c r="AL31" s="14">
        <f t="shared" si="28"/>
        <v>1.6367315558958218</v>
      </c>
      <c r="AM31" s="14">
        <f t="shared" si="29"/>
        <v>0.88131699163621158</v>
      </c>
      <c r="AN31" s="14">
        <f t="shared" si="30"/>
        <v>1.2590242737660167</v>
      </c>
      <c r="AO31" s="9">
        <f t="shared" si="19"/>
        <v>4184.0699973727824</v>
      </c>
      <c r="AP31" s="9">
        <f t="shared" si="20"/>
        <v>0.59958428161582811</v>
      </c>
      <c r="AQ31" s="9">
        <f t="shared" si="21"/>
        <v>30</v>
      </c>
      <c r="AR31" s="9">
        <f t="shared" si="22"/>
        <v>9.3282241732026985E-4</v>
      </c>
      <c r="AS31" s="12">
        <f t="shared" si="23"/>
        <v>1.2798654923651744E-5</v>
      </c>
      <c r="AT31" s="9">
        <f t="shared" si="24"/>
        <v>0.1536216138663119</v>
      </c>
      <c r="AU31" s="9">
        <f t="shared" si="31"/>
        <v>0.14641044366051362</v>
      </c>
      <c r="AV31" s="9">
        <f t="shared" si="32"/>
        <v>3.681052277652197</v>
      </c>
      <c r="AW31" s="13"/>
      <c r="AX31" s="13"/>
      <c r="AY31" s="14">
        <f t="shared" si="33"/>
        <v>1171614.957908147</v>
      </c>
      <c r="AZ31" s="14">
        <f t="shared" si="34"/>
        <v>1.171614957908147</v>
      </c>
      <c r="BA31" s="14">
        <f t="shared" si="35"/>
        <v>6.9426235601009774</v>
      </c>
      <c r="BB31" s="14">
        <f t="shared" si="36"/>
        <v>6.9426235601009774</v>
      </c>
      <c r="BD31" s="14">
        <f t="shared" si="37"/>
        <v>31302689.715103164</v>
      </c>
      <c r="BE31" s="14">
        <f t="shared" si="38"/>
        <v>0.17056776057814982</v>
      </c>
      <c r="BF31" s="14">
        <f t="shared" si="39"/>
        <v>6.9711689348224595E-2</v>
      </c>
      <c r="BG31" s="14">
        <f t="shared" si="40"/>
        <v>1.3142569053338955</v>
      </c>
      <c r="BH31" s="7">
        <f t="shared" si="41"/>
        <v>0.8</v>
      </c>
      <c r="BI31" s="14">
        <f t="shared" si="42"/>
        <v>4584442.994671219</v>
      </c>
      <c r="BJ31" s="14">
        <f t="shared" si="43"/>
        <v>4975783.1974514248</v>
      </c>
      <c r="BK31" s="14">
        <f t="shared" si="44"/>
        <v>4.9757831974514248</v>
      </c>
      <c r="BL31" s="14">
        <f t="shared" si="45"/>
        <v>-295.20947301260287</v>
      </c>
      <c r="BM31" s="7">
        <f t="shared" si="46"/>
        <v>295.20947301260287</v>
      </c>
      <c r="BO31" s="14">
        <f t="shared" si="47"/>
        <v>1382471.2839429711</v>
      </c>
      <c r="BP31" s="14">
        <f t="shared" si="48"/>
        <v>1.3824712839429711</v>
      </c>
      <c r="BQ31" s="14">
        <f t="shared" si="49"/>
        <v>-9.8049745941511919</v>
      </c>
      <c r="BR31" s="14">
        <f t="shared" si="50"/>
        <v>9.8049745941511919</v>
      </c>
      <c r="BT31" s="14">
        <f t="shared" si="51"/>
        <v>1430980.1012618591</v>
      </c>
      <c r="BU31" s="14">
        <f t="shared" si="52"/>
        <v>1.430980101261859</v>
      </c>
      <c r="BV31" s="14">
        <f t="shared" si="53"/>
        <v>-13.657864354075153</v>
      </c>
      <c r="BW31" s="14">
        <f t="shared" si="54"/>
        <v>13.657864354075153</v>
      </c>
      <c r="BY31" s="14">
        <f t="shared" si="55"/>
        <v>0.25827581878021633</v>
      </c>
      <c r="BZ31" s="14">
        <f t="shared" si="56"/>
        <v>1691.821343121894</v>
      </c>
      <c r="CA31" s="14">
        <f t="shared" si="57"/>
        <v>0.30937670278055313</v>
      </c>
      <c r="CB31" s="14">
        <f t="shared" si="58"/>
        <v>0.91085817778248923</v>
      </c>
      <c r="CC31" s="14">
        <f t="shared" si="59"/>
        <v>2.7168514738622278</v>
      </c>
      <c r="CD31" s="14">
        <f t="shared" si="60"/>
        <v>8943625.6328866184</v>
      </c>
      <c r="CE31" s="14">
        <f t="shared" si="61"/>
        <v>6847276.6858369512</v>
      </c>
      <c r="CF31" s="14">
        <f t="shared" si="62"/>
        <v>6.8472766858369516</v>
      </c>
      <c r="CG31" s="14">
        <f t="shared" si="63"/>
        <v>-443.85581187845173</v>
      </c>
      <c r="CH31" s="14">
        <f t="shared" si="64"/>
        <v>443.85581187845173</v>
      </c>
      <c r="CJ31" s="14">
        <f t="shared" si="65"/>
        <v>1.5438134602341049</v>
      </c>
      <c r="CK31" s="14">
        <f t="shared" si="66"/>
        <v>7.9441638524897912E-2</v>
      </c>
      <c r="CL31" s="14">
        <f t="shared" si="67"/>
        <v>0.296879</v>
      </c>
      <c r="CM31" s="14">
        <f t="shared" si="68"/>
        <v>368.10522776521969</v>
      </c>
      <c r="CN31" s="14">
        <f t="shared" si="69"/>
        <v>110.28271191371066</v>
      </c>
      <c r="CO31" s="14">
        <f t="shared" si="70"/>
        <v>0.48877186319823812</v>
      </c>
      <c r="CP31" s="14">
        <f t="shared" si="71"/>
        <v>1.1586684620098755</v>
      </c>
      <c r="CQ31" s="14">
        <f t="shared" si="72"/>
        <v>2.1586684620098753</v>
      </c>
      <c r="CR31" s="14">
        <f t="shared" si="73"/>
        <v>18.912179307743965</v>
      </c>
      <c r="CS31" s="14">
        <f t="shared" si="74"/>
        <v>22.157792163593776</v>
      </c>
      <c r="CT31" s="14">
        <f t="shared" si="75"/>
        <v>-1659.9177891395993</v>
      </c>
      <c r="CU31" s="14">
        <f t="shared" si="76"/>
        <v>1659.9177891395993</v>
      </c>
      <c r="CW31" s="14">
        <f t="shared" si="77"/>
        <v>4.640566872508586</v>
      </c>
      <c r="CX31" s="14">
        <f t="shared" si="78"/>
        <v>5.4369575610040881</v>
      </c>
      <c r="CY31" s="14">
        <f t="shared" si="79"/>
        <v>-331.83897834955638</v>
      </c>
      <c r="CZ31" s="14">
        <f t="shared" si="80"/>
        <v>331.83897834955638</v>
      </c>
      <c r="DB31" s="14">
        <f t="shared" si="81"/>
        <v>4.9394727708335751</v>
      </c>
      <c r="DC31" s="14">
        <f t="shared" si="82"/>
        <v>5.7871601824886172</v>
      </c>
      <c r="DD31" s="14">
        <f t="shared" si="83"/>
        <v>-359.65437705009106</v>
      </c>
      <c r="DE31" s="14">
        <f t="shared" si="84"/>
        <v>359.65437705009106</v>
      </c>
      <c r="DG31" s="14">
        <f t="shared" si="85"/>
        <v>8943625.6328866184</v>
      </c>
      <c r="DH31" s="14">
        <f t="shared" si="86"/>
        <v>3.952847075210475E-2</v>
      </c>
      <c r="DI31" s="14">
        <f t="shared" si="87"/>
        <v>353527.84424733301</v>
      </c>
      <c r="DJ31" s="14">
        <f t="shared" si="88"/>
        <v>0.35352784424733302</v>
      </c>
      <c r="DK31" s="14">
        <f t="shared" si="89"/>
        <v>71.920490207082821</v>
      </c>
      <c r="DL31" s="14">
        <f t="shared" si="90"/>
        <v>71.920490207082821</v>
      </c>
    </row>
    <row r="32" spans="1:116" x14ac:dyDescent="0.3">
      <c r="A32" s="7">
        <v>31</v>
      </c>
      <c r="B32" s="8" t="s">
        <v>41</v>
      </c>
      <c r="C32" s="9">
        <v>180</v>
      </c>
      <c r="D32" s="7">
        <v>50</v>
      </c>
      <c r="E32" s="10">
        <v>50</v>
      </c>
      <c r="F32" s="9">
        <v>10</v>
      </c>
      <c r="G32" s="21">
        <f t="shared" si="25"/>
        <v>1.5915494309189535</v>
      </c>
      <c r="H32" s="7">
        <v>0.2</v>
      </c>
      <c r="I32" s="7">
        <v>267.73175309399386</v>
      </c>
      <c r="J32" s="7">
        <v>9.4109588164790008</v>
      </c>
      <c r="K32" s="7">
        <f t="shared" si="0"/>
        <v>3.5150701057020499E-2</v>
      </c>
      <c r="L32" s="7">
        <f t="shared" si="26"/>
        <v>3.9999999999999998E-6</v>
      </c>
      <c r="M32" s="7">
        <f t="shared" si="1"/>
        <v>2.8120560845616397E-6</v>
      </c>
      <c r="N32" s="7">
        <f t="shared" si="2"/>
        <v>2519.6125022313004</v>
      </c>
      <c r="O32" s="7">
        <f t="shared" si="3"/>
        <v>1.5400000000000002E-5</v>
      </c>
      <c r="P32" s="7">
        <f t="shared" si="4"/>
        <v>9.9999999999999995E-8</v>
      </c>
      <c r="Q32" s="7">
        <v>0.02</v>
      </c>
      <c r="R32" s="7">
        <f t="shared" si="5"/>
        <v>1.2987012987012987E-4</v>
      </c>
      <c r="S32" s="7">
        <f t="shared" si="6"/>
        <v>9.3091287811406875</v>
      </c>
      <c r="T32" s="9">
        <f t="shared" si="7"/>
        <v>2510.3033734501596</v>
      </c>
      <c r="U32" s="11">
        <f t="shared" si="27"/>
        <v>5.0206067469003193</v>
      </c>
      <c r="V32" s="7">
        <v>19.968955105039999</v>
      </c>
      <c r="W32" s="7">
        <v>20.841642499620001</v>
      </c>
      <c r="X32" s="7">
        <f t="shared" si="8"/>
        <v>20.405298802330002</v>
      </c>
      <c r="Y32" s="7">
        <v>99.4</v>
      </c>
      <c r="Z32" s="9">
        <f t="shared" si="9"/>
        <v>78.994701197669997</v>
      </c>
      <c r="AA32" s="9">
        <f t="shared" si="10"/>
        <v>7.2218940239534013E-2</v>
      </c>
      <c r="AB32" s="9">
        <f t="shared" si="11"/>
        <v>998.18180211554386</v>
      </c>
      <c r="AC32" s="12">
        <v>0.99839999999999995</v>
      </c>
      <c r="AD32" s="12">
        <f t="shared" si="12"/>
        <v>2258180.3232856165</v>
      </c>
      <c r="AE32" s="12">
        <f t="shared" si="13"/>
        <v>0.59000762111999994</v>
      </c>
      <c r="AF32" s="12">
        <v>9.81</v>
      </c>
      <c r="AG32" s="7">
        <f t="shared" si="14"/>
        <v>5020606.7469003191</v>
      </c>
      <c r="AH32" s="7">
        <f t="shared" si="15"/>
        <v>5.0206067469003193</v>
      </c>
      <c r="AI32" s="7">
        <f t="shared" si="16"/>
        <v>2.6457513110645908E-2</v>
      </c>
      <c r="AJ32" s="7">
        <f t="shared" si="17"/>
        <v>1.4143549766589715E-2</v>
      </c>
      <c r="AK32" s="7">
        <f t="shared" si="18"/>
        <v>3.0000666659259424E-2</v>
      </c>
      <c r="AL32" s="7">
        <f t="shared" si="28"/>
        <v>6.5267887709704153</v>
      </c>
      <c r="AM32" s="7">
        <f t="shared" si="29"/>
        <v>3.5144247228302232</v>
      </c>
      <c r="AN32" s="7">
        <f t="shared" si="30"/>
        <v>5.0206067469003193</v>
      </c>
      <c r="AO32" s="9">
        <f t="shared" si="19"/>
        <v>4184.0546501018289</v>
      </c>
      <c r="AP32" s="9">
        <f t="shared" si="20"/>
        <v>0.5996278951730023</v>
      </c>
      <c r="AQ32" s="9">
        <f t="shared" si="21"/>
        <v>5</v>
      </c>
      <c r="AR32" s="9">
        <f t="shared" si="22"/>
        <v>9.3242867850286274E-4</v>
      </c>
      <c r="AS32" s="12">
        <f t="shared" si="23"/>
        <v>1.2798654923651744E-5</v>
      </c>
      <c r="AT32" s="9">
        <f t="shared" si="24"/>
        <v>0.1536982268925034</v>
      </c>
      <c r="AU32" s="9">
        <f t="shared" si="31"/>
        <v>0.14636481571968399</v>
      </c>
      <c r="AV32" s="9">
        <f t="shared" si="32"/>
        <v>3.6811658312974376</v>
      </c>
      <c r="AY32" s="7">
        <f t="shared" si="33"/>
        <v>1171593.5496072678</v>
      </c>
      <c r="AZ32" s="7">
        <f t="shared" si="34"/>
        <v>1.1715935496072678</v>
      </c>
      <c r="BA32" s="7">
        <f t="shared" si="35"/>
        <v>76.66430356588674</v>
      </c>
      <c r="BB32" s="7">
        <f t="shared" si="36"/>
        <v>76.66430356588674</v>
      </c>
      <c r="BD32" s="7">
        <f t="shared" si="37"/>
        <v>31302117.737598758</v>
      </c>
      <c r="BE32" s="7">
        <f t="shared" si="38"/>
        <v>0.43304756182248977</v>
      </c>
      <c r="BF32" s="7">
        <f t="shared" si="39"/>
        <v>6.9709108863980698E-2</v>
      </c>
      <c r="BG32" s="7">
        <f t="shared" si="40"/>
        <v>1.3141522907200249</v>
      </c>
      <c r="BH32" s="7">
        <f t="shared" si="41"/>
        <v>0.8</v>
      </c>
      <c r="BI32" s="7">
        <f t="shared" si="42"/>
        <v>4582268.0523359058</v>
      </c>
      <c r="BJ32" s="7">
        <f t="shared" si="43"/>
        <v>5575691.7889292454</v>
      </c>
      <c r="BK32" s="7">
        <f t="shared" si="44"/>
        <v>5.5756917889292454</v>
      </c>
      <c r="BL32" s="7">
        <f t="shared" si="45"/>
        <v>-11.056134646905596</v>
      </c>
      <c r="BM32" s="7">
        <f t="shared" si="46"/>
        <v>11.056134646905596</v>
      </c>
      <c r="BO32" s="7">
        <f t="shared" si="47"/>
        <v>1382466.5578861523</v>
      </c>
      <c r="BP32" s="7">
        <f t="shared" si="48"/>
        <v>1.3824665578861524</v>
      </c>
      <c r="BQ32" s="7">
        <f t="shared" si="49"/>
        <v>72.464153685415113</v>
      </c>
      <c r="BR32" s="7">
        <f t="shared" si="50"/>
        <v>72.464153685415113</v>
      </c>
      <c r="BT32" s="7">
        <f t="shared" si="51"/>
        <v>1430953.9537188006</v>
      </c>
      <c r="BU32" s="7">
        <f t="shared" si="52"/>
        <v>1.4309539537188005</v>
      </c>
      <c r="BV32" s="7">
        <f t="shared" si="53"/>
        <v>71.498386034670816</v>
      </c>
      <c r="BW32" s="7">
        <f t="shared" si="54"/>
        <v>71.498386034670816</v>
      </c>
      <c r="BY32" s="7">
        <f t="shared" si="55"/>
        <v>0.25827552464364351</v>
      </c>
      <c r="BZ32" s="7">
        <f t="shared" si="56"/>
        <v>1691.8117095177768</v>
      </c>
      <c r="CA32" s="7">
        <f t="shared" si="57"/>
        <v>0.30937648257260131</v>
      </c>
      <c r="CB32" s="7">
        <f t="shared" si="58"/>
        <v>0.91085829065997159</v>
      </c>
      <c r="CC32" s="7">
        <f t="shared" si="59"/>
        <v>2.7168495404275674</v>
      </c>
      <c r="CD32" s="7">
        <f t="shared" si="60"/>
        <v>8943462.2107425015</v>
      </c>
      <c r="CE32" s="7">
        <f t="shared" si="61"/>
        <v>6847142.6712954175</v>
      </c>
      <c r="CF32" s="7">
        <f t="shared" si="62"/>
        <v>6.8471426712954173</v>
      </c>
      <c r="CG32" s="7">
        <f t="shared" si="63"/>
        <v>-36.380780580410644</v>
      </c>
      <c r="CH32" s="7">
        <f t="shared" si="64"/>
        <v>36.380780580410644</v>
      </c>
      <c r="CJ32" s="7">
        <f t="shared" si="65"/>
        <v>1.5438134602341049</v>
      </c>
      <c r="CK32" s="7">
        <f t="shared" si="66"/>
        <v>7.9441638524897912E-2</v>
      </c>
      <c r="CL32" s="7">
        <f t="shared" si="67"/>
        <v>0.30064649999999998</v>
      </c>
      <c r="CM32" s="7">
        <f t="shared" si="68"/>
        <v>368.11658312974373</v>
      </c>
      <c r="CN32" s="7">
        <f t="shared" si="69"/>
        <v>111.67296230991649</v>
      </c>
      <c r="CO32" s="7">
        <f t="shared" si="70"/>
        <v>0.48876798299612884</v>
      </c>
      <c r="CP32" s="7">
        <f t="shared" si="71"/>
        <v>1.1583024231530115</v>
      </c>
      <c r="CQ32" s="7">
        <f t="shared" si="72"/>
        <v>2.1583024231530112</v>
      </c>
      <c r="CR32" s="7">
        <f t="shared" si="73"/>
        <v>19.147343482113289</v>
      </c>
      <c r="CS32" s="7">
        <f t="shared" si="74"/>
        <v>22.432904115758692</v>
      </c>
      <c r="CT32" s="7">
        <f t="shared" si="75"/>
        <v>-346.81659501829296</v>
      </c>
      <c r="CU32" s="7">
        <f t="shared" si="76"/>
        <v>346.81659501829296</v>
      </c>
      <c r="CW32" s="7">
        <f t="shared" si="77"/>
        <v>4.6394157325795495</v>
      </c>
      <c r="CX32" s="7">
        <f t="shared" si="78"/>
        <v>5.4355095462366769</v>
      </c>
      <c r="CY32" s="7">
        <f t="shared" si="79"/>
        <v>-8.2639971671255701</v>
      </c>
      <c r="CZ32" s="7">
        <f t="shared" si="80"/>
        <v>8.2639971671255701</v>
      </c>
      <c r="DB32" s="7">
        <f t="shared" si="81"/>
        <v>4.938228238720237</v>
      </c>
      <c r="DC32" s="7">
        <f t="shared" si="82"/>
        <v>5.7855963509730888</v>
      </c>
      <c r="DD32" s="7">
        <f t="shared" si="83"/>
        <v>-15.236995101141266</v>
      </c>
      <c r="DE32" s="7">
        <f t="shared" si="84"/>
        <v>15.236995101141266</v>
      </c>
      <c r="DG32" s="7">
        <f t="shared" si="85"/>
        <v>8943462.2107425015</v>
      </c>
      <c r="DH32" s="7">
        <f t="shared" si="86"/>
        <v>3.952847075210475E-2</v>
      </c>
      <c r="DI32" s="7">
        <f t="shared" si="87"/>
        <v>353521.38441988907</v>
      </c>
      <c r="DJ32" s="7">
        <f t="shared" si="88"/>
        <v>0.35352138441988906</v>
      </c>
      <c r="DK32" s="7">
        <f t="shared" si="89"/>
        <v>92.958592412398161</v>
      </c>
      <c r="DL32" s="7">
        <f t="shared" si="90"/>
        <v>92.958592412398161</v>
      </c>
    </row>
    <row r="33" spans="1:116" x14ac:dyDescent="0.3">
      <c r="A33" s="7">
        <v>32</v>
      </c>
      <c r="B33" s="8" t="s">
        <v>44</v>
      </c>
      <c r="C33" s="9">
        <v>0</v>
      </c>
      <c r="D33" s="7">
        <v>80</v>
      </c>
      <c r="E33" s="10">
        <v>50</v>
      </c>
      <c r="F33" s="9">
        <v>10</v>
      </c>
      <c r="G33" s="21">
        <f t="shared" si="25"/>
        <v>1.5915494309189535</v>
      </c>
      <c r="H33" s="7">
        <v>0.2</v>
      </c>
      <c r="I33" s="7">
        <v>179.750665466134</v>
      </c>
      <c r="J33" s="7">
        <v>5.5955409164200001</v>
      </c>
      <c r="K33" s="7">
        <f t="shared" si="0"/>
        <v>3.1129458697187581E-2</v>
      </c>
      <c r="L33" s="7">
        <f t="shared" si="26"/>
        <v>3.9999999999999998E-6</v>
      </c>
      <c r="M33" s="7">
        <f t="shared" si="1"/>
        <v>2.490356695775006E-6</v>
      </c>
      <c r="N33" s="7">
        <f t="shared" si="2"/>
        <v>1005.8022033694763</v>
      </c>
      <c r="O33" s="7">
        <f t="shared" si="3"/>
        <v>1.5400000000000002E-5</v>
      </c>
      <c r="P33" s="7">
        <f t="shared" si="4"/>
        <v>9.9999999999999995E-8</v>
      </c>
      <c r="Q33" s="7">
        <v>0.02</v>
      </c>
      <c r="R33" s="7">
        <f t="shared" si="5"/>
        <v>1.2987012987012987E-4</v>
      </c>
      <c r="S33" s="7">
        <f t="shared" si="6"/>
        <v>4.1961430825348076</v>
      </c>
      <c r="T33" s="9">
        <f t="shared" si="7"/>
        <v>1001.6060602869414</v>
      </c>
      <c r="U33" s="11">
        <f t="shared" si="27"/>
        <v>2.0032121205738829</v>
      </c>
      <c r="V33" s="16">
        <v>92.882073714430007</v>
      </c>
      <c r="W33" s="16">
        <v>92.889767782510006</v>
      </c>
      <c r="X33" s="7">
        <f t="shared" si="8"/>
        <v>92.885920748469999</v>
      </c>
      <c r="Y33" s="7">
        <v>99.4</v>
      </c>
      <c r="Z33" s="9">
        <f t="shared" si="9"/>
        <v>6.5140792515300063</v>
      </c>
      <c r="AA33" s="9">
        <f t="shared" si="10"/>
        <v>5.7722815850306003E-2</v>
      </c>
      <c r="AB33" s="9">
        <f t="shared" si="11"/>
        <v>965.48770279289704</v>
      </c>
      <c r="AC33" s="12">
        <v>0.99839999999999995</v>
      </c>
      <c r="AD33" s="12">
        <f t="shared" si="12"/>
        <v>2258180.3232856165</v>
      </c>
      <c r="AE33" s="12">
        <f t="shared" si="13"/>
        <v>0.59000762111999994</v>
      </c>
      <c r="AF33" s="12">
        <v>9.81</v>
      </c>
      <c r="AG33" s="7">
        <f t="shared" si="14"/>
        <v>2003212.1205738829</v>
      </c>
      <c r="AH33" s="7">
        <f t="shared" si="15"/>
        <v>2.0032121205738829</v>
      </c>
      <c r="AI33" s="7">
        <f t="shared" si="16"/>
        <v>2.6457513110645908E-2</v>
      </c>
      <c r="AJ33" s="7">
        <f t="shared" si="17"/>
        <v>1.4143549766589715E-2</v>
      </c>
      <c r="AK33" s="7">
        <f t="shared" si="18"/>
        <v>3.0000666659259424E-2</v>
      </c>
      <c r="AL33" s="7">
        <f t="shared" si="28"/>
        <v>2.6041757567460477</v>
      </c>
      <c r="AM33" s="7">
        <f t="shared" si="29"/>
        <v>1.402248484401718</v>
      </c>
      <c r="AN33" s="7">
        <f t="shared" si="30"/>
        <v>2.0032121205738829</v>
      </c>
      <c r="AO33" s="9">
        <f t="shared" si="19"/>
        <v>4293.7780360156221</v>
      </c>
      <c r="AP33" s="9">
        <f t="shared" si="20"/>
        <v>0.67697108291372343</v>
      </c>
      <c r="AQ33" s="9">
        <f t="shared" si="21"/>
        <v>5</v>
      </c>
      <c r="AR33" s="9">
        <f t="shared" si="22"/>
        <v>2.327159577390648E-4</v>
      </c>
      <c r="AS33" s="12">
        <f t="shared" si="23"/>
        <v>1.2798654923651744E-5</v>
      </c>
      <c r="AT33" s="9">
        <f t="shared" si="24"/>
        <v>0.67749229943953293</v>
      </c>
      <c r="AU33" s="9">
        <f t="shared" si="31"/>
        <v>1.2386083665093982E-2</v>
      </c>
      <c r="AV33" s="9">
        <f t="shared" si="32"/>
        <v>4.0494998180787736</v>
      </c>
      <c r="AY33" s="7">
        <f t="shared" si="33"/>
        <v>1098583.7519814998</v>
      </c>
      <c r="AZ33" s="7">
        <f t="shared" si="34"/>
        <v>1.0985837519814998</v>
      </c>
      <c r="BA33" s="7">
        <f t="shared" si="35"/>
        <v>45.158890528938294</v>
      </c>
      <c r="BB33" s="7">
        <f t="shared" si="36"/>
        <v>45.158890528938294</v>
      </c>
      <c r="BD33" s="7">
        <f t="shared" si="37"/>
        <v>29351474.289582055</v>
      </c>
      <c r="BE33" s="7">
        <f t="shared" si="38"/>
        <v>0.43304756182248977</v>
      </c>
      <c r="BF33" s="7">
        <f t="shared" si="39"/>
        <v>6.2171354469824795E-2</v>
      </c>
      <c r="BG33" s="7">
        <f t="shared" si="40"/>
        <v>1.0249255823987466</v>
      </c>
      <c r="BH33" s="7">
        <f t="shared" si="41"/>
        <v>1.0683281572999748</v>
      </c>
      <c r="BI33" s="7">
        <f t="shared" si="42"/>
        <v>1137479.9782128949</v>
      </c>
      <c r="BJ33" s="7">
        <f t="shared" si="43"/>
        <v>2002752.386839017</v>
      </c>
      <c r="BK33" s="7">
        <f t="shared" si="44"/>
        <v>2.0027523868390169</v>
      </c>
      <c r="BL33" s="7">
        <f t="shared" si="45"/>
        <v>2.2949827936057939E-2</v>
      </c>
      <c r="BM33" s="7">
        <f t="shared" si="46"/>
        <v>2.2949827936057939E-2</v>
      </c>
      <c r="BO33" s="7">
        <f t="shared" si="47"/>
        <v>1355101.0284418843</v>
      </c>
      <c r="BP33" s="7">
        <f t="shared" si="48"/>
        <v>1.3551010284418843</v>
      </c>
      <c r="BQ33" s="7">
        <f t="shared" si="49"/>
        <v>32.353592786086317</v>
      </c>
      <c r="BR33" s="7">
        <f t="shared" si="50"/>
        <v>32.353592786086317</v>
      </c>
      <c r="BT33" s="7">
        <f t="shared" si="51"/>
        <v>1341781.6818094654</v>
      </c>
      <c r="BU33" s="7">
        <f t="shared" si="52"/>
        <v>1.3417816818094654</v>
      </c>
      <c r="BV33" s="7">
        <f t="shared" si="53"/>
        <v>33.018492249084929</v>
      </c>
      <c r="BW33" s="7">
        <f t="shared" si="54"/>
        <v>33.018492249084929</v>
      </c>
      <c r="BY33" s="7">
        <f t="shared" si="55"/>
        <v>0.25656101918285867</v>
      </c>
      <c r="BZ33" s="7">
        <f t="shared" si="56"/>
        <v>1636.3986976306012</v>
      </c>
      <c r="CA33" s="7">
        <f t="shared" si="57"/>
        <v>0.30809130006817059</v>
      </c>
      <c r="CB33" s="7">
        <f t="shared" si="58"/>
        <v>0.91151572491425059</v>
      </c>
      <c r="CC33" s="7">
        <f t="shared" si="59"/>
        <v>2.7055656177677108</v>
      </c>
      <c r="CD33" s="7">
        <f t="shared" si="60"/>
        <v>8386135.511309159</v>
      </c>
      <c r="CE33" s="7">
        <f t="shared" si="61"/>
        <v>6371820.7110959776</v>
      </c>
      <c r="CF33" s="7">
        <f t="shared" si="62"/>
        <v>6.3718207110959773</v>
      </c>
      <c r="CG33" s="7">
        <f t="shared" si="63"/>
        <v>-218.08017961026363</v>
      </c>
      <c r="CH33" s="7">
        <f t="shared" si="64"/>
        <v>218.08017961026363</v>
      </c>
      <c r="CJ33" s="7">
        <f t="shared" si="65"/>
        <v>1.5438134602341049</v>
      </c>
      <c r="CK33" s="7">
        <f t="shared" si="66"/>
        <v>7.9441638524897912E-2</v>
      </c>
      <c r="CL33" s="7">
        <f t="shared" si="67"/>
        <v>0.30064649999999998</v>
      </c>
      <c r="CM33" s="7">
        <f t="shared" si="68"/>
        <v>404.94998180787741</v>
      </c>
      <c r="CN33" s="7">
        <f t="shared" si="69"/>
        <v>122.74679470560201</v>
      </c>
      <c r="CO33" s="7">
        <f t="shared" si="70"/>
        <v>0.48921280400302364</v>
      </c>
      <c r="CP33" s="7">
        <f t="shared" si="71"/>
        <v>9.5603129284167351E-2</v>
      </c>
      <c r="CQ33" s="7">
        <f t="shared" si="72"/>
        <v>1.0956031292841673</v>
      </c>
      <c r="CR33" s="7">
        <f t="shared" si="73"/>
        <v>10.683452350319209</v>
      </c>
      <c r="CS33" s="7">
        <f t="shared" si="74"/>
        <v>11.73666716712925</v>
      </c>
      <c r="CT33" s="7">
        <f t="shared" si="75"/>
        <v>-485.8923798727273</v>
      </c>
      <c r="CU33" s="7">
        <f t="shared" si="76"/>
        <v>485.8923798727273</v>
      </c>
      <c r="CW33" s="7">
        <f t="shared" si="77"/>
        <v>1.299887708732568</v>
      </c>
      <c r="CX33" s="7">
        <f t="shared" si="78"/>
        <v>1.4280355162140594</v>
      </c>
      <c r="CY33" s="7">
        <f t="shared" si="79"/>
        <v>28.712715865309665</v>
      </c>
      <c r="CZ33" s="7">
        <f t="shared" si="80"/>
        <v>28.712715865309665</v>
      </c>
      <c r="DB33" s="7">
        <f t="shared" si="81"/>
        <v>1.325050639566169</v>
      </c>
      <c r="DC33" s="7">
        <f t="shared" si="82"/>
        <v>1.455679103180088</v>
      </c>
      <c r="DD33" s="7">
        <f t="shared" si="83"/>
        <v>27.33275282085139</v>
      </c>
      <c r="DE33" s="7">
        <f t="shared" si="84"/>
        <v>27.33275282085139</v>
      </c>
      <c r="DG33" s="7">
        <f t="shared" si="85"/>
        <v>8386135.511309159</v>
      </c>
      <c r="DH33" s="7">
        <f t="shared" si="86"/>
        <v>0.17230060940112779</v>
      </c>
      <c r="DI33" s="7">
        <f t="shared" si="87"/>
        <v>1444936.2591190066</v>
      </c>
      <c r="DJ33" s="7">
        <f t="shared" si="88"/>
        <v>1.4449362591190065</v>
      </c>
      <c r="DK33" s="7">
        <f t="shared" si="89"/>
        <v>27.869033724443561</v>
      </c>
      <c r="DL33" s="7">
        <f t="shared" si="90"/>
        <v>27.869033724443561</v>
      </c>
    </row>
    <row r="34" spans="1:116" x14ac:dyDescent="0.3">
      <c r="A34" s="7">
        <v>33</v>
      </c>
      <c r="B34" s="8" t="s">
        <v>41</v>
      </c>
      <c r="C34" s="9">
        <v>180</v>
      </c>
      <c r="D34" s="7">
        <v>80</v>
      </c>
      <c r="E34" s="10">
        <v>50</v>
      </c>
      <c r="F34" s="9">
        <v>10</v>
      </c>
      <c r="G34" s="21">
        <f t="shared" si="25"/>
        <v>1.5915494309189535</v>
      </c>
      <c r="H34" s="7">
        <v>0.2</v>
      </c>
      <c r="I34" s="7">
        <v>173.843053564298</v>
      </c>
      <c r="J34" s="7">
        <f>I34*K33</f>
        <v>5.4116401557227833</v>
      </c>
      <c r="K34" s="7">
        <f t="shared" si="0"/>
        <v>3.1129458697187584E-2</v>
      </c>
      <c r="L34" s="7">
        <f t="shared" si="26"/>
        <v>3.9999999999999998E-6</v>
      </c>
      <c r="M34" s="7">
        <f t="shared" si="1"/>
        <v>2.4903566957750068E-6</v>
      </c>
      <c r="N34" s="7">
        <f t="shared" si="2"/>
        <v>940.77604946202177</v>
      </c>
      <c r="O34" s="7">
        <f t="shared" si="3"/>
        <v>1.5400000000000002E-5</v>
      </c>
      <c r="P34" s="7">
        <f t="shared" si="4"/>
        <v>9.9999999999999995E-8</v>
      </c>
      <c r="Q34" s="7">
        <v>0.02</v>
      </c>
      <c r="R34" s="7">
        <f t="shared" si="5"/>
        <v>1.2987012987012987E-4</v>
      </c>
      <c r="S34" s="7">
        <f t="shared" si="6"/>
        <v>3.9248580873453744</v>
      </c>
      <c r="T34" s="9">
        <f t="shared" si="7"/>
        <v>936.85119137467643</v>
      </c>
      <c r="U34" s="11">
        <f t="shared" si="27"/>
        <v>1.8737023827493529</v>
      </c>
      <c r="V34" s="16">
        <v>97.06847666566</v>
      </c>
      <c r="W34" s="16">
        <v>97.070892433020006</v>
      </c>
      <c r="X34" s="7">
        <f t="shared" si="8"/>
        <v>97.069684549339996</v>
      </c>
      <c r="Y34" s="7">
        <v>99.4</v>
      </c>
      <c r="Z34" s="9">
        <f t="shared" si="9"/>
        <v>2.3303154506600094</v>
      </c>
      <c r="AA34" s="9">
        <f t="shared" si="10"/>
        <v>5.6886063090132007E-2</v>
      </c>
      <c r="AB34" s="9">
        <f t="shared" si="11"/>
        <v>962.63828010258828</v>
      </c>
      <c r="AC34" s="12">
        <v>0.99839999999999995</v>
      </c>
      <c r="AD34" s="12">
        <f t="shared" si="12"/>
        <v>2258180.3232856165</v>
      </c>
      <c r="AE34" s="12">
        <f t="shared" si="13"/>
        <v>0.59000762111999994</v>
      </c>
      <c r="AF34" s="12">
        <v>9.81</v>
      </c>
      <c r="AG34" s="7">
        <f t="shared" si="14"/>
        <v>1873702.3827493528</v>
      </c>
      <c r="AH34" s="7">
        <f t="shared" si="15"/>
        <v>1.8737023827493529</v>
      </c>
      <c r="AI34" s="7">
        <f t="shared" si="16"/>
        <v>2.6457513110645908E-2</v>
      </c>
      <c r="AJ34" s="7">
        <f t="shared" si="17"/>
        <v>1.4143549766589715E-2</v>
      </c>
      <c r="AK34" s="7">
        <f t="shared" si="18"/>
        <v>3.0000666659259424E-2</v>
      </c>
      <c r="AL34" s="7">
        <f t="shared" si="28"/>
        <v>2.435813097574159</v>
      </c>
      <c r="AM34" s="7">
        <f t="shared" si="29"/>
        <v>1.311591667924547</v>
      </c>
      <c r="AN34" s="7">
        <f t="shared" si="30"/>
        <v>1.8737023827493529</v>
      </c>
      <c r="AO34" s="9">
        <f t="shared" si="19"/>
        <v>4312.665420600285</v>
      </c>
      <c r="AP34" s="9">
        <f t="shared" si="20"/>
        <v>0.67822806942346414</v>
      </c>
      <c r="AQ34" s="9">
        <f t="shared" si="21"/>
        <v>5</v>
      </c>
      <c r="AR34" s="9">
        <f t="shared" si="22"/>
        <v>2.2119389096135478E-4</v>
      </c>
      <c r="AS34" s="12">
        <f t="shared" si="23"/>
        <v>1.2798654923651744E-5</v>
      </c>
      <c r="AT34" s="9">
        <f t="shared" si="24"/>
        <v>0.71097914991886779</v>
      </c>
      <c r="AU34" s="9">
        <f t="shared" si="31"/>
        <v>4.45042885172677E-3</v>
      </c>
      <c r="AV34" s="9">
        <f t="shared" si="32"/>
        <v>4.0731461779626743</v>
      </c>
      <c r="AY34" s="7">
        <f t="shared" si="33"/>
        <v>1093771.6506443415</v>
      </c>
      <c r="AZ34" s="7">
        <f t="shared" si="34"/>
        <v>1.0937716506443416</v>
      </c>
      <c r="BA34" s="7">
        <f t="shared" si="35"/>
        <v>41.6251128933609</v>
      </c>
      <c r="BB34" s="7">
        <f t="shared" si="36"/>
        <v>41.6251128933609</v>
      </c>
      <c r="BD34" s="7">
        <f t="shared" si="37"/>
        <v>29222906.696604542</v>
      </c>
      <c r="BE34" s="7">
        <f t="shared" si="38"/>
        <v>0.43304756182248977</v>
      </c>
      <c r="BF34" s="7">
        <f t="shared" si="39"/>
        <v>6.173848866181348E-2</v>
      </c>
      <c r="BG34" s="7">
        <f t="shared" si="40"/>
        <v>1.008920664020418</v>
      </c>
      <c r="BH34" s="7">
        <f t="shared" si="41"/>
        <v>0.8</v>
      </c>
      <c r="BI34" s="7">
        <f t="shared" si="42"/>
        <v>1047372.3041719167</v>
      </c>
      <c r="BJ34" s="7">
        <f t="shared" si="43"/>
        <v>1677983.9794652606</v>
      </c>
      <c r="BK34" s="7">
        <f t="shared" si="44"/>
        <v>1.6779839794652607</v>
      </c>
      <c r="BL34" s="7">
        <f t="shared" si="45"/>
        <v>10.44554381133397</v>
      </c>
      <c r="BM34" s="7">
        <f t="shared" si="46"/>
        <v>10.44554381133397</v>
      </c>
      <c r="BO34" s="7">
        <f t="shared" si="47"/>
        <v>1352698.5731511856</v>
      </c>
      <c r="BP34" s="7">
        <f t="shared" si="48"/>
        <v>1.3526985731511856</v>
      </c>
      <c r="BQ34" s="7">
        <f t="shared" si="49"/>
        <v>27.806113414537002</v>
      </c>
      <c r="BR34" s="7">
        <f t="shared" si="50"/>
        <v>27.806113414537002</v>
      </c>
      <c r="BT34" s="7">
        <f t="shared" si="51"/>
        <v>1335904.3061304935</v>
      </c>
      <c r="BU34" s="7">
        <f t="shared" si="52"/>
        <v>1.3359043061304936</v>
      </c>
      <c r="BV34" s="7">
        <f t="shared" si="53"/>
        <v>28.702427961356822</v>
      </c>
      <c r="BW34" s="7">
        <f t="shared" si="54"/>
        <v>28.702427961356822</v>
      </c>
      <c r="BY34" s="7">
        <f t="shared" si="55"/>
        <v>0.25640940351081681</v>
      </c>
      <c r="BZ34" s="7">
        <f t="shared" si="56"/>
        <v>1631.5692300299966</v>
      </c>
      <c r="CA34" s="7">
        <f t="shared" si="57"/>
        <v>0.30797749515620931</v>
      </c>
      <c r="CB34" s="7">
        <f t="shared" si="58"/>
        <v>0.91157381239080315</v>
      </c>
      <c r="CC34" s="7">
        <f t="shared" si="59"/>
        <v>2.7045664119076074</v>
      </c>
      <c r="CD34" s="7">
        <f t="shared" si="60"/>
        <v>8349401.913315584</v>
      </c>
      <c r="CE34" s="7">
        <f t="shared" si="61"/>
        <v>6339628.9518651087</v>
      </c>
      <c r="CF34" s="7">
        <f t="shared" si="62"/>
        <v>6.3396289518651088</v>
      </c>
      <c r="CG34" s="7">
        <f t="shared" si="63"/>
        <v>-238.34770186729105</v>
      </c>
      <c r="CH34" s="7">
        <f t="shared" si="64"/>
        <v>238.34770186729105</v>
      </c>
      <c r="CJ34" s="7">
        <f t="shared" si="65"/>
        <v>1.5438134602341049</v>
      </c>
      <c r="CK34" s="7">
        <f t="shared" si="66"/>
        <v>7.9441638524897912E-2</v>
      </c>
      <c r="CL34" s="7">
        <f t="shared" si="67"/>
        <v>0.30064649999999998</v>
      </c>
      <c r="CM34" s="7">
        <f t="shared" si="68"/>
        <v>407.3146177962675</v>
      </c>
      <c r="CN34" s="7">
        <f t="shared" si="69"/>
        <v>123.45771423928554</v>
      </c>
      <c r="CO34" s="7">
        <f t="shared" si="70"/>
        <v>0.49027672623711427</v>
      </c>
      <c r="CP34" s="7">
        <f t="shared" si="71"/>
        <v>3.4274982907480649E-2</v>
      </c>
      <c r="CQ34" s="7">
        <f t="shared" si="72"/>
        <v>1.0342749829074807</v>
      </c>
      <c r="CR34" s="7">
        <f t="shared" si="73"/>
        <v>10.143841278586123</v>
      </c>
      <c r="CS34" s="7">
        <f t="shared" si="74"/>
        <v>11.095046019153353</v>
      </c>
      <c r="CT34" s="7">
        <f t="shared" si="75"/>
        <v>-492.14558946513068</v>
      </c>
      <c r="CU34" s="7">
        <f t="shared" si="76"/>
        <v>492.14558946513068</v>
      </c>
      <c r="CW34" s="7">
        <f t="shared" si="77"/>
        <v>1.1074978118437651</v>
      </c>
      <c r="CX34" s="7">
        <f t="shared" si="78"/>
        <v>1.2113497097453514</v>
      </c>
      <c r="CY34" s="7">
        <f t="shared" si="79"/>
        <v>35.349940262770382</v>
      </c>
      <c r="CZ34" s="7">
        <f t="shared" si="80"/>
        <v>35.349940262770382</v>
      </c>
      <c r="DB34" s="7">
        <f t="shared" si="81"/>
        <v>1.1165349418854342</v>
      </c>
      <c r="DC34" s="7">
        <f t="shared" si="82"/>
        <v>1.2212342663881153</v>
      </c>
      <c r="DD34" s="7">
        <f t="shared" si="83"/>
        <v>34.822398816819934</v>
      </c>
      <c r="DE34" s="7">
        <f t="shared" si="84"/>
        <v>34.822398816819934</v>
      </c>
      <c r="DG34" s="7">
        <f t="shared" si="85"/>
        <v>8349401.913315584</v>
      </c>
      <c r="DH34" s="7">
        <f t="shared" si="86"/>
        <v>3.952847075210475E-2</v>
      </c>
      <c r="DI34" s="7">
        <f t="shared" si="87"/>
        <v>330039.08932806249</v>
      </c>
      <c r="DJ34" s="7">
        <f t="shared" si="88"/>
        <v>0.33003908932806247</v>
      </c>
      <c r="DK34" s="7">
        <f t="shared" si="89"/>
        <v>82.385725056090081</v>
      </c>
      <c r="DL34" s="7">
        <f t="shared" si="90"/>
        <v>82.385725056090081</v>
      </c>
    </row>
    <row r="35" spans="1:116" x14ac:dyDescent="0.3">
      <c r="A35" s="7">
        <v>34</v>
      </c>
      <c r="B35" s="8" t="s">
        <v>42</v>
      </c>
      <c r="C35" s="9">
        <v>90</v>
      </c>
      <c r="D35" s="7">
        <v>80</v>
      </c>
      <c r="E35" s="10">
        <v>50</v>
      </c>
      <c r="F35" s="9">
        <v>10</v>
      </c>
      <c r="G35" s="21">
        <f t="shared" si="25"/>
        <v>1.5915494309189535</v>
      </c>
      <c r="H35" s="7">
        <v>0.2</v>
      </c>
      <c r="I35" s="7">
        <v>206.8218106706986</v>
      </c>
      <c r="J35" s="7">
        <f>I35*K34</f>
        <v>6.4382510129510626</v>
      </c>
      <c r="K35" s="7">
        <f t="shared" si="0"/>
        <v>3.1129458697187584E-2</v>
      </c>
      <c r="L35" s="7">
        <f t="shared" si="26"/>
        <v>3.9999999999999998E-6</v>
      </c>
      <c r="M35" s="7">
        <f t="shared" si="1"/>
        <v>2.4903566957750068E-6</v>
      </c>
      <c r="N35" s="7">
        <f t="shared" si="2"/>
        <v>1331.5707320509982</v>
      </c>
      <c r="O35" s="7">
        <f t="shared" si="3"/>
        <v>1.5400000000000002E-5</v>
      </c>
      <c r="P35" s="7">
        <f t="shared" si="4"/>
        <v>9.9999999999999995E-8</v>
      </c>
      <c r="Q35" s="7">
        <v>0.02</v>
      </c>
      <c r="R35" s="7">
        <f t="shared" si="5"/>
        <v>1.2987012987012987E-4</v>
      </c>
      <c r="S35" s="7">
        <f t="shared" si="6"/>
        <v>5.5552287492345833</v>
      </c>
      <c r="T35" s="9">
        <f t="shared" si="7"/>
        <v>1326.0155033017636</v>
      </c>
      <c r="U35" s="11">
        <f t="shared" si="27"/>
        <v>2.6520310066035271</v>
      </c>
      <c r="V35" s="7">
        <v>95.191846038120005</v>
      </c>
      <c r="W35" s="7">
        <v>95.187968604250003</v>
      </c>
      <c r="X35" s="7">
        <f t="shared" si="8"/>
        <v>95.189907321185004</v>
      </c>
      <c r="Y35" s="7">
        <v>99.4</v>
      </c>
      <c r="Z35" s="9">
        <f t="shared" si="9"/>
        <v>4.2100926788150019</v>
      </c>
      <c r="AA35" s="9">
        <f t="shared" si="10"/>
        <v>5.7262018535763001E-2</v>
      </c>
      <c r="AB35" s="9">
        <f t="shared" si="11"/>
        <v>963.93152693843695</v>
      </c>
      <c r="AC35" s="12">
        <v>0.99839999999999995</v>
      </c>
      <c r="AD35" s="12">
        <f t="shared" si="12"/>
        <v>2258180.3232856165</v>
      </c>
      <c r="AE35" s="12">
        <f t="shared" si="13"/>
        <v>0.59000762111999994</v>
      </c>
      <c r="AF35" s="12">
        <v>9.81</v>
      </c>
      <c r="AG35" s="7">
        <f t="shared" si="14"/>
        <v>2652031.0066035269</v>
      </c>
      <c r="AH35" s="7">
        <f t="shared" si="15"/>
        <v>2.6520310066035271</v>
      </c>
      <c r="AI35" s="7">
        <f t="shared" si="16"/>
        <v>2.6457513110645908E-2</v>
      </c>
      <c r="AJ35" s="7">
        <f t="shared" si="17"/>
        <v>1.4143549766589715E-2</v>
      </c>
      <c r="AK35" s="7">
        <f t="shared" si="18"/>
        <v>3.0000666659259424E-2</v>
      </c>
      <c r="AL35" s="7">
        <f t="shared" si="28"/>
        <v>3.4476403085845853</v>
      </c>
      <c r="AM35" s="7">
        <f t="shared" si="29"/>
        <v>1.8564217046224689</v>
      </c>
      <c r="AN35" s="7">
        <f t="shared" si="30"/>
        <v>2.6520310066035271</v>
      </c>
      <c r="AO35" s="9">
        <f t="shared" si="19"/>
        <v>4303.9334694760646</v>
      </c>
      <c r="AP35" s="9">
        <f t="shared" si="20"/>
        <v>0.67770661154844902</v>
      </c>
      <c r="AQ35" s="9">
        <f t="shared" si="21"/>
        <v>5</v>
      </c>
      <c r="AR35" s="9">
        <f t="shared" si="22"/>
        <v>2.2598100069789865E-4</v>
      </c>
      <c r="AS35" s="12">
        <f t="shared" si="23"/>
        <v>1.2798654923651744E-5</v>
      </c>
      <c r="AT35" s="9">
        <f t="shared" si="24"/>
        <v>0.6967937486638156</v>
      </c>
      <c r="AU35" s="9">
        <f t="shared" si="31"/>
        <v>8.0241416520642501E-3</v>
      </c>
      <c r="AV35" s="9">
        <f t="shared" si="32"/>
        <v>4.0624807520777155</v>
      </c>
      <c r="AY35" s="7">
        <f t="shared" si="33"/>
        <v>1095942.351249004</v>
      </c>
      <c r="AZ35" s="7">
        <f t="shared" si="34"/>
        <v>1.0959423512490041</v>
      </c>
      <c r="BA35" s="7">
        <f t="shared" si="35"/>
        <v>58.675356791827852</v>
      </c>
      <c r="BB35" s="7">
        <f t="shared" si="36"/>
        <v>58.675356791827852</v>
      </c>
      <c r="BD35" s="7">
        <f t="shared" si="37"/>
        <v>29280902.514286365</v>
      </c>
      <c r="BE35" s="7">
        <f t="shared" si="38"/>
        <v>0.43304756182248977</v>
      </c>
      <c r="BF35" s="7">
        <f t="shared" si="39"/>
        <v>6.1933041713988647E-2</v>
      </c>
      <c r="BG35" s="7">
        <f t="shared" si="40"/>
        <v>1.0161126701533811</v>
      </c>
      <c r="BH35" s="7">
        <f t="shared" si="41"/>
        <v>0.98973665961010282</v>
      </c>
      <c r="BI35" s="7">
        <f t="shared" si="42"/>
        <v>1087032.0289729494</v>
      </c>
      <c r="BJ35" s="7">
        <f t="shared" si="43"/>
        <v>1876808.1340706362</v>
      </c>
      <c r="BK35" s="7">
        <f t="shared" si="44"/>
        <v>1.8768081340706362</v>
      </c>
      <c r="BL35" s="7">
        <f t="shared" si="45"/>
        <v>29.231289928458406</v>
      </c>
      <c r="BM35" s="7">
        <f t="shared" si="46"/>
        <v>29.231289928458406</v>
      </c>
      <c r="BO35" s="7">
        <f t="shared" si="47"/>
        <v>1353789.3103858274</v>
      </c>
      <c r="BP35" s="7">
        <f t="shared" si="48"/>
        <v>1.3537893103858274</v>
      </c>
      <c r="BQ35" s="7">
        <f t="shared" si="49"/>
        <v>48.952734450882843</v>
      </c>
      <c r="BR35" s="7">
        <f t="shared" si="50"/>
        <v>48.952734450882843</v>
      </c>
      <c r="BT35" s="7">
        <f t="shared" si="51"/>
        <v>1338555.543510234</v>
      </c>
      <c r="BU35" s="7">
        <f t="shared" si="52"/>
        <v>1.3385555435102341</v>
      </c>
      <c r="BV35" s="7">
        <f t="shared" si="53"/>
        <v>49.527153333530187</v>
      </c>
      <c r="BW35" s="7">
        <f t="shared" si="54"/>
        <v>49.527153333530187</v>
      </c>
      <c r="BY35" s="7">
        <f t="shared" si="55"/>
        <v>0.25647826065183932</v>
      </c>
      <c r="BZ35" s="7">
        <f t="shared" si="56"/>
        <v>1633.761145506264</v>
      </c>
      <c r="CA35" s="7">
        <f t="shared" si="57"/>
        <v>0.30802918344715796</v>
      </c>
      <c r="CB35" s="7">
        <f t="shared" si="58"/>
        <v>0.91154743263418403</v>
      </c>
      <c r="CC35" s="7">
        <f t="shared" si="59"/>
        <v>2.7050202344641616</v>
      </c>
      <c r="CD35" s="7">
        <f t="shared" si="60"/>
        <v>8365972.1469389619</v>
      </c>
      <c r="CE35" s="7">
        <f t="shared" si="61"/>
        <v>6354158.8726289282</v>
      </c>
      <c r="CF35" s="7">
        <f t="shared" si="62"/>
        <v>6.3541588726289282</v>
      </c>
      <c r="CG35" s="7">
        <f t="shared" si="63"/>
        <v>-139.59594954987875</v>
      </c>
      <c r="CH35" s="7">
        <f t="shared" si="64"/>
        <v>139.59594954987875</v>
      </c>
      <c r="CJ35" s="7">
        <f t="shared" si="65"/>
        <v>1.5438134602341049</v>
      </c>
      <c r="CK35" s="7">
        <f t="shared" si="66"/>
        <v>7.9441638524897912E-2</v>
      </c>
      <c r="CL35" s="7">
        <f t="shared" si="67"/>
        <v>0.30064649999999998</v>
      </c>
      <c r="CM35" s="7">
        <f t="shared" si="68"/>
        <v>406.24807520777154</v>
      </c>
      <c r="CN35" s="7">
        <f t="shared" si="69"/>
        <v>123.13706194295328</v>
      </c>
      <c r="CO35" s="7">
        <f t="shared" si="70"/>
        <v>0.48977696197913095</v>
      </c>
      <c r="CP35" s="7">
        <f t="shared" si="71"/>
        <v>6.1860192056417782E-2</v>
      </c>
      <c r="CQ35" s="7">
        <f t="shared" si="72"/>
        <v>1.0618601920564177</v>
      </c>
      <c r="CR35" s="7">
        <f t="shared" si="73"/>
        <v>10.3873393509925</v>
      </c>
      <c r="CS35" s="7">
        <f t="shared" si="74"/>
        <v>11.383925111548024</v>
      </c>
      <c r="CT35" s="7">
        <f t="shared" si="75"/>
        <v>-329.25309256197153</v>
      </c>
      <c r="CU35" s="7">
        <f t="shared" si="76"/>
        <v>329.25309256197153</v>
      </c>
      <c r="CW35" s="7">
        <f t="shared" si="77"/>
        <v>1.1940272793779267</v>
      </c>
      <c r="CX35" s="7">
        <f t="shared" si="78"/>
        <v>1.3085850640168966</v>
      </c>
      <c r="CY35" s="7">
        <f t="shared" si="79"/>
        <v>50.657248698882682</v>
      </c>
      <c r="CZ35" s="7">
        <f t="shared" si="80"/>
        <v>50.657248698882682</v>
      </c>
      <c r="DB35" s="7">
        <f t="shared" si="81"/>
        <v>1.2103246529918206</v>
      </c>
      <c r="DC35" s="7">
        <f t="shared" si="82"/>
        <v>1.3264460459744909</v>
      </c>
      <c r="DD35" s="7">
        <f t="shared" si="83"/>
        <v>49.983765549058241</v>
      </c>
      <c r="DE35" s="7">
        <f t="shared" si="84"/>
        <v>49.983765549058241</v>
      </c>
      <c r="DG35" s="7">
        <f t="shared" si="85"/>
        <v>8365972.1469389619</v>
      </c>
      <c r="DH35" s="7">
        <f t="shared" si="86"/>
        <v>0.125</v>
      </c>
      <c r="DI35" s="7">
        <f t="shared" si="87"/>
        <v>1045746.5183673702</v>
      </c>
      <c r="DJ35" s="7">
        <f t="shared" si="88"/>
        <v>1.0457465183673702</v>
      </c>
      <c r="DK35" s="7">
        <f t="shared" si="89"/>
        <v>60.568088541820465</v>
      </c>
      <c r="DL35" s="7">
        <f t="shared" si="90"/>
        <v>60.568088541820465</v>
      </c>
    </row>
    <row r="36" spans="1:116" x14ac:dyDescent="0.3">
      <c r="A36" s="7">
        <v>35</v>
      </c>
      <c r="B36" s="8" t="s">
        <v>44</v>
      </c>
      <c r="C36" s="9">
        <v>0</v>
      </c>
      <c r="D36" s="7">
        <v>80</v>
      </c>
      <c r="E36" s="10">
        <v>50</v>
      </c>
      <c r="F36" s="9">
        <v>20</v>
      </c>
      <c r="G36" s="21">
        <f t="shared" si="25"/>
        <v>3.183098861837907</v>
      </c>
      <c r="H36" s="7">
        <v>0.2</v>
      </c>
      <c r="I36" s="7">
        <v>263.98372630492099</v>
      </c>
      <c r="J36" s="7">
        <v>6.1975397229261402</v>
      </c>
      <c r="K36" s="7">
        <f t="shared" si="0"/>
        <v>2.3476976439704911E-2</v>
      </c>
      <c r="L36" s="7">
        <f t="shared" si="26"/>
        <v>7.9999999999999996E-6</v>
      </c>
      <c r="M36" s="7">
        <f t="shared" si="1"/>
        <v>3.7563162303527851E-6</v>
      </c>
      <c r="N36" s="7">
        <f t="shared" si="2"/>
        <v>1636.0496299808101</v>
      </c>
      <c r="O36" s="7">
        <f t="shared" si="3"/>
        <v>1.5400000000000002E-5</v>
      </c>
      <c r="P36" s="7">
        <f t="shared" si="4"/>
        <v>9.9999999999999995E-8</v>
      </c>
      <c r="Q36" s="7">
        <v>0.02</v>
      </c>
      <c r="R36" s="7">
        <f t="shared" si="5"/>
        <v>1.2987012987012987E-4</v>
      </c>
      <c r="S36" s="7">
        <f t="shared" si="6"/>
        <v>9.0503126953027824</v>
      </c>
      <c r="T36" s="9">
        <f t="shared" si="7"/>
        <v>1626.9993172855072</v>
      </c>
      <c r="U36" s="11">
        <f t="shared" si="27"/>
        <v>1.6269993172855073</v>
      </c>
      <c r="V36" s="7">
        <v>96.639832252369999</v>
      </c>
      <c r="W36" s="7">
        <v>96.641544729220001</v>
      </c>
      <c r="X36" s="7">
        <f t="shared" si="8"/>
        <v>96.640688490795</v>
      </c>
      <c r="Y36" s="7">
        <v>99.4</v>
      </c>
      <c r="Z36" s="9">
        <f t="shared" si="9"/>
        <v>2.7593115092050056</v>
      </c>
      <c r="AA36" s="9">
        <f t="shared" si="10"/>
        <v>5.6971862301841009E-2</v>
      </c>
      <c r="AB36" s="9">
        <f t="shared" si="11"/>
        <v>962.93528742389901</v>
      </c>
      <c r="AC36" s="12">
        <v>0.99839999999999995</v>
      </c>
      <c r="AD36" s="12">
        <f t="shared" si="12"/>
        <v>2258180.3232856165</v>
      </c>
      <c r="AE36" s="12">
        <f t="shared" si="13"/>
        <v>0.59000762111999994</v>
      </c>
      <c r="AF36" s="12">
        <v>9.81</v>
      </c>
      <c r="AG36" s="7">
        <f t="shared" si="14"/>
        <v>1626999.3172855072</v>
      </c>
      <c r="AH36" s="7">
        <f t="shared" si="15"/>
        <v>1.6269993172855073</v>
      </c>
      <c r="AI36" s="7">
        <f t="shared" si="16"/>
        <v>2.6457513110645908E-2</v>
      </c>
      <c r="AJ36" s="7">
        <f t="shared" si="17"/>
        <v>1.4143549766589715E-2</v>
      </c>
      <c r="AK36" s="7">
        <f t="shared" si="18"/>
        <v>3.0000666659259424E-2</v>
      </c>
      <c r="AL36" s="7">
        <f t="shared" si="28"/>
        <v>2.1150991124711593</v>
      </c>
      <c r="AM36" s="7">
        <f t="shared" si="29"/>
        <v>1.138899522099855</v>
      </c>
      <c r="AN36" s="7">
        <f t="shared" si="30"/>
        <v>1.6269993172855073</v>
      </c>
      <c r="AO36" s="9">
        <f t="shared" si="19"/>
        <v>4310.6367816384645</v>
      </c>
      <c r="AP36" s="9">
        <f t="shared" si="20"/>
        <v>0.6781152879600002</v>
      </c>
      <c r="AQ36" s="9">
        <f t="shared" si="21"/>
        <v>2.5</v>
      </c>
      <c r="AR36" s="9">
        <f t="shared" si="22"/>
        <v>2.2223037393545803E-4</v>
      </c>
      <c r="AS36" s="12">
        <f t="shared" si="23"/>
        <v>1.2798654923651744E-5</v>
      </c>
      <c r="AT36" s="9">
        <f t="shared" si="24"/>
        <v>0.70787844500053132</v>
      </c>
      <c r="AU36" s="9">
        <f t="shared" si="31"/>
        <v>5.2672452952168547E-3</v>
      </c>
      <c r="AV36" s="9">
        <f t="shared" si="32"/>
        <v>8.1414123495614135</v>
      </c>
      <c r="AY36" s="7">
        <f t="shared" si="33"/>
        <v>1094268.2821431996</v>
      </c>
      <c r="AZ36" s="7">
        <f t="shared" si="34"/>
        <v>1.0942682821431995</v>
      </c>
      <c r="BA36" s="7">
        <f t="shared" si="35"/>
        <v>32.743162795613131</v>
      </c>
      <c r="BB36" s="7">
        <f t="shared" si="36"/>
        <v>32.743162795613131</v>
      </c>
      <c r="BD36" s="7">
        <f t="shared" si="37"/>
        <v>29236175.477108385</v>
      </c>
      <c r="BE36" s="7">
        <f t="shared" si="38"/>
        <v>0.62097082391581759</v>
      </c>
      <c r="BF36" s="7">
        <f t="shared" si="39"/>
        <v>2.6892568755390218E-2</v>
      </c>
      <c r="BG36" s="7">
        <f t="shared" si="40"/>
        <v>1.010562234463434</v>
      </c>
      <c r="BH36" s="7">
        <f t="shared" si="41"/>
        <v>1.0683281572999748</v>
      </c>
      <c r="BI36" s="7">
        <f t="shared" si="42"/>
        <v>1056307.5158370847</v>
      </c>
      <c r="BJ36" s="7">
        <f t="shared" si="43"/>
        <v>1583406.0182105952</v>
      </c>
      <c r="BK36" s="7">
        <f t="shared" si="44"/>
        <v>1.5834060182105953</v>
      </c>
      <c r="BL36" s="7">
        <f t="shared" si="45"/>
        <v>2.6793680004514808</v>
      </c>
      <c r="BM36" s="7">
        <f t="shared" si="46"/>
        <v>2.6793680004514808</v>
      </c>
      <c r="BO36" s="7">
        <f t="shared" si="47"/>
        <v>1352949.1239321472</v>
      </c>
      <c r="BP36" s="7">
        <f t="shared" si="48"/>
        <v>1.3529491239321472</v>
      </c>
      <c r="BQ36" s="7">
        <f t="shared" si="49"/>
        <v>16.843903401913323</v>
      </c>
      <c r="BR36" s="7">
        <f t="shared" si="50"/>
        <v>16.843903401913323</v>
      </c>
      <c r="BT36" s="7">
        <f t="shared" si="51"/>
        <v>1336510.8789535263</v>
      </c>
      <c r="BU36" s="7">
        <f t="shared" si="52"/>
        <v>1.3365108789535263</v>
      </c>
      <c r="BV36" s="7">
        <f t="shared" si="53"/>
        <v>17.854244635863349</v>
      </c>
      <c r="BW36" s="7">
        <f t="shared" si="54"/>
        <v>17.854244635863349</v>
      </c>
      <c r="BY36" s="7">
        <f t="shared" si="55"/>
        <v>0.25642522379861682</v>
      </c>
      <c r="BZ36" s="7">
        <f t="shared" si="56"/>
        <v>1632.0726257670669</v>
      </c>
      <c r="CA36" s="7">
        <f t="shared" si="57"/>
        <v>0.30798937127156056</v>
      </c>
      <c r="CB36" s="7">
        <f t="shared" si="58"/>
        <v>0.911567751652541</v>
      </c>
      <c r="CC36" s="7">
        <f t="shared" si="59"/>
        <v>2.7046706840445869</v>
      </c>
      <c r="CD36" s="7">
        <f t="shared" si="60"/>
        <v>8353192.9934595386</v>
      </c>
      <c r="CE36" s="7">
        <f t="shared" si="61"/>
        <v>6342954.4305552933</v>
      </c>
      <c r="CF36" s="7">
        <f t="shared" si="62"/>
        <v>6.3429544305552934</v>
      </c>
      <c r="CG36" s="7">
        <f t="shared" si="63"/>
        <v>-289.85599828879498</v>
      </c>
      <c r="CH36" s="7">
        <f t="shared" si="64"/>
        <v>289.85599828879498</v>
      </c>
      <c r="CJ36" s="7">
        <f t="shared" si="65"/>
        <v>1.5438134602341049</v>
      </c>
      <c r="CK36" s="7">
        <f t="shared" si="66"/>
        <v>7.9441638524897912E-2</v>
      </c>
      <c r="CL36" s="7">
        <f t="shared" si="67"/>
        <v>0.30064649999999998</v>
      </c>
      <c r="CM36" s="7">
        <f t="shared" si="68"/>
        <v>407.07061747807069</v>
      </c>
      <c r="CN36" s="7">
        <f t="shared" si="69"/>
        <v>123.38435639762078</v>
      </c>
      <c r="CO36" s="7">
        <f t="shared" si="70"/>
        <v>0.49015949728316199</v>
      </c>
      <c r="CP36" s="7">
        <f t="shared" si="71"/>
        <v>4.057508226598705E-2</v>
      </c>
      <c r="CQ36" s="7">
        <f t="shared" si="72"/>
        <v>1.0405750822659869</v>
      </c>
      <c r="CR36" s="7">
        <f t="shared" si="73"/>
        <v>10.19956653142728</v>
      </c>
      <c r="CS36" s="7">
        <f t="shared" si="74"/>
        <v>11.161062146950201</v>
      </c>
      <c r="CT36" s="7">
        <f t="shared" si="75"/>
        <v>-585.99058575951744</v>
      </c>
      <c r="CU36" s="7">
        <f t="shared" si="76"/>
        <v>585.99058575951744</v>
      </c>
      <c r="CW36" s="7">
        <f t="shared" si="77"/>
        <v>1.1272589937734838</v>
      </c>
      <c r="CX36" s="7">
        <f t="shared" si="78"/>
        <v>1.2335237626469817</v>
      </c>
      <c r="CY36" s="7">
        <f t="shared" si="79"/>
        <v>24.184125368595847</v>
      </c>
      <c r="CZ36" s="7">
        <f t="shared" si="80"/>
        <v>24.184125368595847</v>
      </c>
      <c r="DB36" s="7">
        <f t="shared" si="81"/>
        <v>1.1379552797043559</v>
      </c>
      <c r="DC36" s="7">
        <f t="shared" si="82"/>
        <v>1.2452283690778696</v>
      </c>
      <c r="DD36" s="7">
        <f t="shared" si="83"/>
        <v>23.464727007051607</v>
      </c>
      <c r="DE36" s="7">
        <f t="shared" si="84"/>
        <v>23.464727007051607</v>
      </c>
      <c r="DG36" s="7">
        <f t="shared" si="85"/>
        <v>8353192.9934595386</v>
      </c>
      <c r="DH36" s="7">
        <f t="shared" si="86"/>
        <v>0.17230060940112779</v>
      </c>
      <c r="DI36" s="7">
        <f t="shared" si="87"/>
        <v>1439260.2432183095</v>
      </c>
      <c r="DJ36" s="7">
        <f t="shared" si="88"/>
        <v>1.4392602432183095</v>
      </c>
      <c r="DK36" s="7">
        <f t="shared" si="89"/>
        <v>11.538976819020581</v>
      </c>
      <c r="DL36" s="7">
        <f t="shared" si="90"/>
        <v>11.538976819020581</v>
      </c>
    </row>
    <row r="37" spans="1:116" x14ac:dyDescent="0.3">
      <c r="A37" s="7">
        <v>36</v>
      </c>
      <c r="B37" s="8" t="s">
        <v>41</v>
      </c>
      <c r="C37" s="9">
        <v>180</v>
      </c>
      <c r="D37" s="7">
        <v>80</v>
      </c>
      <c r="E37" s="10">
        <v>50</v>
      </c>
      <c r="F37" s="9">
        <v>20</v>
      </c>
      <c r="G37" s="21">
        <f t="shared" si="25"/>
        <v>3.183098861837907</v>
      </c>
      <c r="H37" s="7">
        <v>0.2</v>
      </c>
      <c r="I37" s="7">
        <v>289.42051794311902</v>
      </c>
      <c r="J37" s="7">
        <v>5.0553689123340897</v>
      </c>
      <c r="K37" s="7">
        <f t="shared" si="0"/>
        <v>1.7467209817265416E-2</v>
      </c>
      <c r="L37" s="7">
        <f t="shared" si="26"/>
        <v>7.9999999999999996E-6</v>
      </c>
      <c r="M37" s="7">
        <f t="shared" si="1"/>
        <v>2.7947535707624663E-6</v>
      </c>
      <c r="N37" s="7">
        <f t="shared" si="2"/>
        <v>1463.1274890012744</v>
      </c>
      <c r="O37" s="7">
        <f t="shared" si="3"/>
        <v>1.5400000000000002E-5</v>
      </c>
      <c r="P37" s="7">
        <f t="shared" si="4"/>
        <v>9.9999999999999995E-8</v>
      </c>
      <c r="Q37" s="7">
        <v>0.02</v>
      </c>
      <c r="R37" s="7">
        <f t="shared" si="5"/>
        <v>1.2987012987012987E-4</v>
      </c>
      <c r="S37" s="7">
        <f t="shared" si="6"/>
        <v>10.878472234605621</v>
      </c>
      <c r="T37" s="9">
        <f t="shared" si="7"/>
        <v>1452.2490167666688</v>
      </c>
      <c r="U37" s="11">
        <f t="shared" si="27"/>
        <v>1.4522490167666688</v>
      </c>
      <c r="V37" s="16">
        <v>94.155206690409997</v>
      </c>
      <c r="W37" s="16">
        <v>94.160873241019999</v>
      </c>
      <c r="X37" s="7">
        <f t="shared" si="8"/>
        <v>94.158039965715005</v>
      </c>
      <c r="Y37" s="7">
        <v>99.4</v>
      </c>
      <c r="Z37" s="9">
        <f t="shared" si="9"/>
        <v>5.2419600342850003</v>
      </c>
      <c r="AA37" s="9">
        <f t="shared" si="10"/>
        <v>5.7468392006857008E-2</v>
      </c>
      <c r="AB37" s="9">
        <f t="shared" si="11"/>
        <v>964.63241648525695</v>
      </c>
      <c r="AC37" s="12">
        <v>0.99839999999999995</v>
      </c>
      <c r="AD37" s="12">
        <f t="shared" si="12"/>
        <v>2258180.3232856165</v>
      </c>
      <c r="AE37" s="12">
        <f t="shared" si="13"/>
        <v>0.59000762111999994</v>
      </c>
      <c r="AF37" s="12">
        <v>9.81</v>
      </c>
      <c r="AG37" s="7">
        <f t="shared" si="14"/>
        <v>1452249.0167666688</v>
      </c>
      <c r="AH37" s="7">
        <f t="shared" si="15"/>
        <v>1.4522490167666688</v>
      </c>
      <c r="AI37" s="7">
        <f t="shared" si="16"/>
        <v>2.6457513110645908E-2</v>
      </c>
      <c r="AJ37" s="7">
        <f t="shared" si="17"/>
        <v>1.4143549766589715E-2</v>
      </c>
      <c r="AK37" s="7">
        <f t="shared" si="18"/>
        <v>3.0000666659259424E-2</v>
      </c>
      <c r="AL37" s="7">
        <f t="shared" si="28"/>
        <v>1.8879237217966696</v>
      </c>
      <c r="AM37" s="7">
        <f t="shared" si="29"/>
        <v>1.0165743117366681</v>
      </c>
      <c r="AN37" s="7">
        <f t="shared" si="30"/>
        <v>1.4522490167666688</v>
      </c>
      <c r="AO37" s="9">
        <f t="shared" si="19"/>
        <v>4299.311644764869</v>
      </c>
      <c r="AP37" s="9">
        <f t="shared" si="20"/>
        <v>0.67739032302272117</v>
      </c>
      <c r="AQ37" s="9">
        <f t="shared" si="21"/>
        <v>2.5</v>
      </c>
      <c r="AR37" s="9">
        <f t="shared" si="22"/>
        <v>2.2887919079722348E-4</v>
      </c>
      <c r="AS37" s="12">
        <f t="shared" si="23"/>
        <v>1.2798654923651744E-5</v>
      </c>
      <c r="AT37" s="9">
        <f t="shared" si="24"/>
        <v>0.68838873025320779</v>
      </c>
      <c r="AU37" s="9">
        <f t="shared" si="31"/>
        <v>9.980079794514745E-3</v>
      </c>
      <c r="AV37" s="9">
        <f t="shared" si="32"/>
        <v>8.1133095520894631</v>
      </c>
      <c r="AY37" s="7">
        <f t="shared" si="33"/>
        <v>1097127.9352244744</v>
      </c>
      <c r="AZ37" s="7">
        <f t="shared" si="34"/>
        <v>1.0971279352244745</v>
      </c>
      <c r="BA37" s="7">
        <f t="shared" si="35"/>
        <v>24.45318106207754</v>
      </c>
      <c r="BB37" s="7">
        <f t="shared" si="36"/>
        <v>24.45318106207754</v>
      </c>
      <c r="BD37" s="7">
        <f t="shared" si="37"/>
        <v>29312578.422027942</v>
      </c>
      <c r="BE37" s="7">
        <f t="shared" si="38"/>
        <v>0.62097082391581759</v>
      </c>
      <c r="BF37" s="7">
        <f t="shared" si="39"/>
        <v>2.7004387678863498E-2</v>
      </c>
      <c r="BG37" s="7">
        <f t="shared" si="40"/>
        <v>1.0200597615817342</v>
      </c>
      <c r="BH37" s="7">
        <f t="shared" si="41"/>
        <v>0.8</v>
      </c>
      <c r="BI37" s="7">
        <f t="shared" si="42"/>
        <v>1109370.6026473558</v>
      </c>
      <c r="BJ37" s="7">
        <f t="shared" si="43"/>
        <v>1510491.3768395977</v>
      </c>
      <c r="BK37" s="7">
        <f t="shared" si="44"/>
        <v>1.5104913768395978</v>
      </c>
      <c r="BL37" s="7">
        <f t="shared" si="45"/>
        <v>-4.0104940268853815</v>
      </c>
      <c r="BM37" s="7">
        <f t="shared" si="46"/>
        <v>4.0104940268853815</v>
      </c>
      <c r="BO37" s="7">
        <f t="shared" si="47"/>
        <v>1354380.2028578392</v>
      </c>
      <c r="BP37" s="7">
        <f t="shared" si="48"/>
        <v>1.3543802028578391</v>
      </c>
      <c r="BQ37" s="7">
        <f t="shared" si="49"/>
        <v>6.739120686528528</v>
      </c>
      <c r="BR37" s="7">
        <f t="shared" si="50"/>
        <v>6.739120686528528</v>
      </c>
      <c r="BT37" s="7">
        <f t="shared" si="51"/>
        <v>1340003.5850069916</v>
      </c>
      <c r="BU37" s="7">
        <f t="shared" si="52"/>
        <v>1.3400035850069916</v>
      </c>
      <c r="BV37" s="7">
        <f t="shared" si="53"/>
        <v>7.7290761063542606</v>
      </c>
      <c r="BW37" s="7">
        <f t="shared" si="54"/>
        <v>7.7290761063542606</v>
      </c>
      <c r="BY37" s="7">
        <f t="shared" si="55"/>
        <v>0.25651554767198298</v>
      </c>
      <c r="BZ37" s="7">
        <f t="shared" si="56"/>
        <v>1634.9490785459925</v>
      </c>
      <c r="CA37" s="7">
        <f t="shared" si="57"/>
        <v>0.30805717114404357</v>
      </c>
      <c r="CB37" s="7">
        <f t="shared" si="58"/>
        <v>0.91153314695848209</v>
      </c>
      <c r="CC37" s="7">
        <f t="shared" si="59"/>
        <v>2.7052659661408391</v>
      </c>
      <c r="CD37" s="7">
        <f t="shared" si="60"/>
        <v>8375022.4062936977</v>
      </c>
      <c r="CE37" s="7">
        <f t="shared" si="61"/>
        <v>6362088.9302227711</v>
      </c>
      <c r="CF37" s="7">
        <f t="shared" si="62"/>
        <v>6.3620889302227708</v>
      </c>
      <c r="CG37" s="7">
        <f t="shared" si="63"/>
        <v>-338.08526339287994</v>
      </c>
      <c r="CH37" s="7">
        <f t="shared" si="64"/>
        <v>338.08526339287994</v>
      </c>
      <c r="CJ37" s="7">
        <f t="shared" si="65"/>
        <v>1.5438134602341049</v>
      </c>
      <c r="CK37" s="7">
        <f t="shared" si="66"/>
        <v>7.9441638524897912E-2</v>
      </c>
      <c r="CL37" s="7">
        <f t="shared" si="67"/>
        <v>0.30064649999999998</v>
      </c>
      <c r="CM37" s="7">
        <f t="shared" si="68"/>
        <v>405.66547760447315</v>
      </c>
      <c r="CN37" s="7">
        <f t="shared" si="69"/>
        <v>122.96190601261323</v>
      </c>
      <c r="CO37" s="7">
        <f t="shared" si="70"/>
        <v>0.4895177920308087</v>
      </c>
      <c r="CP37" s="7">
        <f t="shared" si="71"/>
        <v>7.6980981056908065E-2</v>
      </c>
      <c r="CQ37" s="7">
        <f t="shared" si="72"/>
        <v>1.076980981056908</v>
      </c>
      <c r="CR37" s="7">
        <f t="shared" si="73"/>
        <v>10.520268244447829</v>
      </c>
      <c r="CS37" s="7">
        <f t="shared" si="74"/>
        <v>11.542080177038654</v>
      </c>
      <c r="CT37" s="7">
        <f t="shared" si="75"/>
        <v>-694.77280024167567</v>
      </c>
      <c r="CU37" s="7">
        <f t="shared" si="76"/>
        <v>694.77280024167567</v>
      </c>
      <c r="CW37" s="7">
        <f t="shared" si="77"/>
        <v>1.241463090544541</v>
      </c>
      <c r="CX37" s="7">
        <f t="shared" si="78"/>
        <v>1.3620438371865271</v>
      </c>
      <c r="CY37" s="7">
        <f t="shared" si="79"/>
        <v>6.2114126805179239</v>
      </c>
      <c r="CZ37" s="7">
        <f t="shared" si="80"/>
        <v>6.2114126805179239</v>
      </c>
      <c r="DB37" s="7">
        <f t="shared" si="81"/>
        <v>1.2617353355934875</v>
      </c>
      <c r="DC37" s="7">
        <f t="shared" si="82"/>
        <v>1.3842850835394422</v>
      </c>
      <c r="DD37" s="7">
        <f t="shared" si="83"/>
        <v>4.6799090543399755</v>
      </c>
      <c r="DE37" s="7">
        <f t="shared" si="84"/>
        <v>4.6799090543399755</v>
      </c>
      <c r="DG37" s="7">
        <f t="shared" si="85"/>
        <v>8375022.4062936977</v>
      </c>
      <c r="DH37" s="7">
        <f t="shared" si="86"/>
        <v>3.952847075210475E-2</v>
      </c>
      <c r="DI37" s="7">
        <f t="shared" si="87"/>
        <v>331051.82823540235</v>
      </c>
      <c r="DJ37" s="7">
        <f t="shared" si="88"/>
        <v>0.33105182823540236</v>
      </c>
      <c r="DK37" s="7">
        <f t="shared" si="89"/>
        <v>77.204196772502144</v>
      </c>
      <c r="DL37" s="7">
        <f t="shared" si="90"/>
        <v>77.204196772502144</v>
      </c>
    </row>
    <row r="38" spans="1:116" x14ac:dyDescent="0.3">
      <c r="A38" s="7">
        <v>37</v>
      </c>
      <c r="B38" s="8" t="s">
        <v>45</v>
      </c>
      <c r="C38" s="9">
        <v>180</v>
      </c>
      <c r="D38" s="7">
        <v>130</v>
      </c>
      <c r="E38" s="10">
        <v>100</v>
      </c>
      <c r="F38" s="9">
        <v>10</v>
      </c>
      <c r="G38" s="21">
        <f t="shared" si="25"/>
        <v>1.5915494309189535</v>
      </c>
      <c r="H38" s="7">
        <v>0.2</v>
      </c>
      <c r="I38" s="7">
        <v>144.73413154874768</v>
      </c>
      <c r="J38" s="7">
        <v>7.2665370210719997</v>
      </c>
      <c r="K38" s="7">
        <f t="shared" si="0"/>
        <v>5.0206105106759623E-2</v>
      </c>
      <c r="L38" s="7">
        <f t="shared" si="26"/>
        <v>3.9999999999999998E-6</v>
      </c>
      <c r="M38" s="7">
        <f t="shared" si="1"/>
        <v>2.0082442042703847E-6</v>
      </c>
      <c r="N38" s="7">
        <f t="shared" si="2"/>
        <v>1051.71592511168</v>
      </c>
      <c r="O38" s="7">
        <f t="shared" si="3"/>
        <v>1.5400000000000002E-5</v>
      </c>
      <c r="P38" s="7">
        <f t="shared" si="4"/>
        <v>9.9999999999999995E-8</v>
      </c>
      <c r="Q38" s="7">
        <v>0.02</v>
      </c>
      <c r="R38" s="7">
        <f t="shared" si="5"/>
        <v>1.2987012987012987E-4</v>
      </c>
      <c r="S38" s="7">
        <f t="shared" si="6"/>
        <v>2.7205154331389867</v>
      </c>
      <c r="T38" s="9">
        <f t="shared" si="7"/>
        <v>1048.9954096785409</v>
      </c>
      <c r="U38" s="11">
        <f t="shared" si="27"/>
        <v>1.048995409678541</v>
      </c>
      <c r="V38" s="7">
        <v>94.525627143050002</v>
      </c>
      <c r="W38" s="7">
        <v>96.629697824179999</v>
      </c>
      <c r="X38" s="7">
        <f t="shared" si="8"/>
        <v>95.577662483615001</v>
      </c>
      <c r="Y38" s="7">
        <v>99.4</v>
      </c>
      <c r="Z38" s="9">
        <f t="shared" si="9"/>
        <v>3.8223375163850051</v>
      </c>
      <c r="AA38" s="9">
        <f t="shared" si="10"/>
        <v>5.7184467503277006E-2</v>
      </c>
      <c r="AB38" s="9">
        <f t="shared" si="11"/>
        <v>963.66649523432659</v>
      </c>
      <c r="AC38" s="12">
        <v>0.99839999999999995</v>
      </c>
      <c r="AD38" s="12">
        <f t="shared" si="12"/>
        <v>2258180.3232856165</v>
      </c>
      <c r="AE38" s="12">
        <f t="shared" si="13"/>
        <v>0.59000762111999994</v>
      </c>
      <c r="AF38" s="12">
        <v>9.81</v>
      </c>
      <c r="AG38" s="7">
        <f t="shared" si="14"/>
        <v>1048995.4096785409</v>
      </c>
      <c r="AH38" s="7">
        <f t="shared" si="15"/>
        <v>1.048995409678541</v>
      </c>
      <c r="AI38" s="7">
        <f t="shared" si="16"/>
        <v>2.6457513110645908E-2</v>
      </c>
      <c r="AJ38" s="7">
        <f t="shared" si="17"/>
        <v>1.4143549766589715E-2</v>
      </c>
      <c r="AK38" s="7">
        <f t="shared" si="18"/>
        <v>3.0000666659259424E-2</v>
      </c>
      <c r="AL38" s="7">
        <f t="shared" si="28"/>
        <v>1.3636940325821034</v>
      </c>
      <c r="AM38" s="7">
        <f t="shared" si="29"/>
        <v>0.73429678677497867</v>
      </c>
      <c r="AN38" s="7">
        <f t="shared" si="30"/>
        <v>1.048995409678541</v>
      </c>
      <c r="AO38" s="9">
        <f t="shared" si="19"/>
        <v>4305.7014740919967</v>
      </c>
      <c r="AP38" s="9">
        <f t="shared" si="20"/>
        <v>0.67781996180563475</v>
      </c>
      <c r="AQ38" s="9">
        <f t="shared" si="21"/>
        <v>10</v>
      </c>
      <c r="AR38" s="9">
        <f t="shared" si="22"/>
        <v>2.249414606251064E-4</v>
      </c>
      <c r="AS38" s="12">
        <f t="shared" si="23"/>
        <v>1.2798654923651744E-5</v>
      </c>
      <c r="AT38" s="9">
        <f t="shared" si="24"/>
        <v>0.69984349158925652</v>
      </c>
      <c r="AU38" s="9">
        <f t="shared" si="31"/>
        <v>7.2881001171908877E-3</v>
      </c>
      <c r="AV38" s="9">
        <f t="shared" si="32"/>
        <v>4.0646752504737389</v>
      </c>
      <c r="AY38" s="7">
        <f t="shared" si="33"/>
        <v>1095495.7384398615</v>
      </c>
      <c r="AZ38" s="7">
        <f t="shared" si="34"/>
        <v>1.0954957384398614</v>
      </c>
      <c r="BA38" s="7">
        <f t="shared" si="35"/>
        <v>-4.4328438744617724</v>
      </c>
      <c r="BB38" s="7">
        <f t="shared" si="36"/>
        <v>4.4328438744617724</v>
      </c>
      <c r="BD38" s="7">
        <f t="shared" si="37"/>
        <v>29268970.110988662</v>
      </c>
      <c r="BE38" s="7">
        <f t="shared" si="38"/>
        <v>0.30199517204020154</v>
      </c>
      <c r="BF38" s="7">
        <f t="shared" si="39"/>
        <v>6.189291906306571E-2</v>
      </c>
      <c r="BG38" s="7">
        <f t="shared" si="40"/>
        <v>1.0146293166377001</v>
      </c>
      <c r="BH38" s="7">
        <f t="shared" si="41"/>
        <v>0.8</v>
      </c>
      <c r="BI38" s="7">
        <f t="shared" si="42"/>
        <v>1078742.7484546662</v>
      </c>
      <c r="BJ38" s="7">
        <f t="shared" si="43"/>
        <v>1522806.9877571883</v>
      </c>
      <c r="BK38" s="7">
        <f t="shared" si="44"/>
        <v>1.5228069877571884</v>
      </c>
      <c r="BL38" s="7">
        <f t="shared" si="45"/>
        <v>-45.168126924773141</v>
      </c>
      <c r="BM38" s="7">
        <f t="shared" si="46"/>
        <v>45.168126924773141</v>
      </c>
      <c r="BO38" s="7">
        <f t="shared" si="47"/>
        <v>1353565.8277523988</v>
      </c>
      <c r="BP38" s="7">
        <f t="shared" si="48"/>
        <v>1.3535658277523988</v>
      </c>
      <c r="BQ38" s="7">
        <f t="shared" si="49"/>
        <v>-29.034485305058841</v>
      </c>
      <c r="BR38" s="7">
        <f t="shared" si="50"/>
        <v>29.034485305058841</v>
      </c>
      <c r="BT38" s="7">
        <f t="shared" si="51"/>
        <v>1338010.0622166246</v>
      </c>
      <c r="BU38" s="7">
        <f t="shared" si="52"/>
        <v>1.3380100622166247</v>
      </c>
      <c r="BV38" s="7">
        <f t="shared" si="53"/>
        <v>-27.551565037510571</v>
      </c>
      <c r="BW38" s="7">
        <f t="shared" si="54"/>
        <v>27.551565037510571</v>
      </c>
      <c r="BY38" s="7">
        <f t="shared" si="55"/>
        <v>0.25646415542845741</v>
      </c>
      <c r="BZ38" s="7">
        <f t="shared" si="56"/>
        <v>1633.3119450305021</v>
      </c>
      <c r="CA38" s="7">
        <f t="shared" si="57"/>
        <v>0.30801859564618489</v>
      </c>
      <c r="CB38" s="7">
        <f t="shared" si="58"/>
        <v>0.91155283660206499</v>
      </c>
      <c r="CC38" s="7">
        <f t="shared" si="59"/>
        <v>2.7049272736938152</v>
      </c>
      <c r="CD38" s="7">
        <f t="shared" si="60"/>
        <v>8362562.8888539039</v>
      </c>
      <c r="CE38" s="7">
        <f t="shared" si="61"/>
        <v>6351170.5187257072</v>
      </c>
      <c r="CF38" s="7">
        <f t="shared" si="62"/>
        <v>6.3511705187257075</v>
      </c>
      <c r="CG38" s="7">
        <f t="shared" si="63"/>
        <v>-505.45265118671864</v>
      </c>
      <c r="CH38" s="7">
        <f t="shared" si="64"/>
        <v>505.45265118671864</v>
      </c>
      <c r="CJ38" s="7">
        <f t="shared" si="65"/>
        <v>1.5438134602341049</v>
      </c>
      <c r="CK38" s="7">
        <f t="shared" si="66"/>
        <v>7.9441638524897912E-2</v>
      </c>
      <c r="CL38" s="7">
        <f t="shared" si="67"/>
        <v>0.29989300000000002</v>
      </c>
      <c r="CM38" s="7">
        <f t="shared" si="68"/>
        <v>406.4675250473739</v>
      </c>
      <c r="CN38" s="7">
        <f t="shared" si="69"/>
        <v>122.89676548903211</v>
      </c>
      <c r="CO38" s="7">
        <f t="shared" si="70"/>
        <v>0.48987711391290872</v>
      </c>
      <c r="CP38" s="7">
        <f t="shared" si="71"/>
        <v>5.6174270127831646E-2</v>
      </c>
      <c r="CQ38" s="7">
        <f t="shared" si="72"/>
        <v>1.0561742701278316</v>
      </c>
      <c r="CR38" s="7">
        <f t="shared" si="73"/>
        <v>10.311556583614536</v>
      </c>
      <c r="CS38" s="7">
        <f t="shared" si="74"/>
        <v>11.29626629403122</v>
      </c>
      <c r="CT38" s="7">
        <f t="shared" si="75"/>
        <v>-976.86517879929522</v>
      </c>
      <c r="CU38" s="7">
        <f t="shared" si="76"/>
        <v>976.86517879929522</v>
      </c>
      <c r="CW38" s="7">
        <f t="shared" si="77"/>
        <v>1.176190706560708</v>
      </c>
      <c r="CX38" s="7">
        <f t="shared" si="78"/>
        <v>1.2885119066298252</v>
      </c>
      <c r="CY38" s="7">
        <f t="shared" si="79"/>
        <v>-22.832940424847305</v>
      </c>
      <c r="CZ38" s="7">
        <f t="shared" si="80"/>
        <v>22.832940424847305</v>
      </c>
      <c r="DB38" s="7">
        <f t="shared" si="81"/>
        <v>1.1909925184346277</v>
      </c>
      <c r="DC38" s="7">
        <f t="shared" si="82"/>
        <v>1.3047272284588927</v>
      </c>
      <c r="DD38" s="7">
        <f t="shared" si="83"/>
        <v>-24.378735733335507</v>
      </c>
      <c r="DE38" s="7">
        <f t="shared" si="84"/>
        <v>24.378735733335507</v>
      </c>
      <c r="DG38" s="7">
        <f t="shared" si="85"/>
        <v>8362562.8888539039</v>
      </c>
      <c r="DH38" s="7">
        <f t="shared" si="86"/>
        <v>3.952847075210475E-2</v>
      </c>
      <c r="DI38" s="7">
        <f t="shared" si="87"/>
        <v>330559.32256469812</v>
      </c>
      <c r="DJ38" s="7">
        <f t="shared" si="88"/>
        <v>0.33055932256469811</v>
      </c>
      <c r="DK38" s="7">
        <f t="shared" si="89"/>
        <v>68.488010575184859</v>
      </c>
      <c r="DL38" s="7">
        <f t="shared" si="90"/>
        <v>68.488010575184859</v>
      </c>
    </row>
    <row r="39" spans="1:116" x14ac:dyDescent="0.3">
      <c r="A39" s="7">
        <v>38</v>
      </c>
      <c r="B39" s="8" t="s">
        <v>44</v>
      </c>
      <c r="C39" s="9">
        <v>0</v>
      </c>
      <c r="D39" s="7">
        <v>130</v>
      </c>
      <c r="E39" s="10">
        <v>100</v>
      </c>
      <c r="F39" s="9">
        <v>10</v>
      </c>
      <c r="G39" s="21">
        <f t="shared" si="25"/>
        <v>1.5915494309189535</v>
      </c>
      <c r="H39" s="7">
        <v>0.2</v>
      </c>
      <c r="I39" s="7">
        <v>158.998982099806</v>
      </c>
      <c r="J39" s="7">
        <f>I39*K38</f>
        <v>7.9827196071706519</v>
      </c>
      <c r="K39" s="7">
        <f t="shared" si="0"/>
        <v>5.0206105106759623E-2</v>
      </c>
      <c r="L39" s="7">
        <f t="shared" si="26"/>
        <v>3.9999999999999998E-6</v>
      </c>
      <c r="M39" s="7">
        <f t="shared" si="1"/>
        <v>2.0082442042703847E-6</v>
      </c>
      <c r="N39" s="7">
        <f t="shared" si="2"/>
        <v>1269.2442919282969</v>
      </c>
      <c r="O39" s="7">
        <f t="shared" si="3"/>
        <v>1.5400000000000002E-5</v>
      </c>
      <c r="P39" s="7">
        <f t="shared" si="4"/>
        <v>9.9999999999999995E-8</v>
      </c>
      <c r="Q39" s="7">
        <v>0.02</v>
      </c>
      <c r="R39" s="7">
        <f t="shared" si="5"/>
        <v>1.2987012987012987E-4</v>
      </c>
      <c r="S39" s="7">
        <f t="shared" si="6"/>
        <v>3.2832047154252506</v>
      </c>
      <c r="T39" s="9">
        <f t="shared" si="7"/>
        <v>1265.9610872128717</v>
      </c>
      <c r="U39" s="11">
        <f t="shared" si="27"/>
        <v>1.2659610872128717</v>
      </c>
      <c r="V39" s="16">
        <v>96.793073060500006</v>
      </c>
      <c r="W39" s="16">
        <v>96.792893079890007</v>
      </c>
      <c r="X39" s="7">
        <f t="shared" si="8"/>
        <v>96.792983070195007</v>
      </c>
      <c r="Y39" s="7">
        <v>99.4</v>
      </c>
      <c r="Z39" s="9">
        <f t="shared" si="9"/>
        <v>2.607016929804999</v>
      </c>
      <c r="AA39" s="9">
        <f t="shared" si="10"/>
        <v>5.6941403385961001E-2</v>
      </c>
      <c r="AB39" s="9">
        <f t="shared" si="11"/>
        <v>962.82997556771318</v>
      </c>
      <c r="AC39" s="12">
        <v>0.99839999999999995</v>
      </c>
      <c r="AD39" s="12">
        <f t="shared" si="12"/>
        <v>2258180.3232856165</v>
      </c>
      <c r="AE39" s="12">
        <f t="shared" si="13"/>
        <v>0.59000762111999994</v>
      </c>
      <c r="AF39" s="12">
        <v>9.81</v>
      </c>
      <c r="AG39" s="7">
        <f t="shared" si="14"/>
        <v>1265961.0872128718</v>
      </c>
      <c r="AH39" s="7">
        <f t="shared" si="15"/>
        <v>1.2659610872128717</v>
      </c>
      <c r="AI39" s="7">
        <f t="shared" si="16"/>
        <v>2.6457513110645908E-2</v>
      </c>
      <c r="AJ39" s="7">
        <f t="shared" si="17"/>
        <v>1.4143549766589715E-2</v>
      </c>
      <c r="AK39" s="7">
        <f t="shared" si="18"/>
        <v>3.0000666659259424E-2</v>
      </c>
      <c r="AL39" s="7">
        <f t="shared" si="28"/>
        <v>1.6457494133767332</v>
      </c>
      <c r="AM39" s="7">
        <f t="shared" si="29"/>
        <v>0.8861727610490101</v>
      </c>
      <c r="AN39" s="7">
        <f t="shared" si="30"/>
        <v>1.2659610872128717</v>
      </c>
      <c r="AO39" s="9">
        <f t="shared" si="19"/>
        <v>4311.3545095307391</v>
      </c>
      <c r="AP39" s="9">
        <f t="shared" si="20"/>
        <v>0.6781557470381584</v>
      </c>
      <c r="AQ39" s="9">
        <f t="shared" si="21"/>
        <v>10</v>
      </c>
      <c r="AR39" s="9">
        <f t="shared" si="22"/>
        <v>2.2185862750306396E-4</v>
      </c>
      <c r="AS39" s="12">
        <f t="shared" si="23"/>
        <v>1.2798654923651744E-5</v>
      </c>
      <c r="AT39" s="9">
        <f t="shared" si="24"/>
        <v>0.70898882436094401</v>
      </c>
      <c r="AU39" s="9">
        <f t="shared" si="31"/>
        <v>4.9773590181602821E-3</v>
      </c>
      <c r="AV39" s="9">
        <f t="shared" si="32"/>
        <v>4.0715719744259635</v>
      </c>
      <c r="AY39" s="7">
        <f t="shared" si="33"/>
        <v>1094092.0610559662</v>
      </c>
      <c r="AZ39" s="7">
        <f t="shared" si="34"/>
        <v>1.0940920610559661</v>
      </c>
      <c r="BA39" s="7">
        <f t="shared" si="35"/>
        <v>13.576169749047407</v>
      </c>
      <c r="BB39" s="7">
        <f t="shared" si="36"/>
        <v>13.576169749047407</v>
      </c>
      <c r="BD39" s="7">
        <f t="shared" si="37"/>
        <v>29231467.280121233</v>
      </c>
      <c r="BE39" s="7">
        <f t="shared" si="38"/>
        <v>0.30199517204020154</v>
      </c>
      <c r="BF39" s="7">
        <f t="shared" si="39"/>
        <v>6.1767133923664126E-2</v>
      </c>
      <c r="BG39" s="7">
        <f t="shared" si="40"/>
        <v>1.0099794921391163</v>
      </c>
      <c r="BH39" s="7">
        <f t="shared" si="41"/>
        <v>1.0683281572999748</v>
      </c>
      <c r="BI39" s="7">
        <f t="shared" si="42"/>
        <v>1053127.7373179432</v>
      </c>
      <c r="BJ39" s="7">
        <f t="shared" si="43"/>
        <v>1641463.56435861</v>
      </c>
      <c r="BK39" s="7">
        <f t="shared" si="44"/>
        <v>1.64146356435861</v>
      </c>
      <c r="BL39" s="7">
        <f t="shared" si="45"/>
        <v>-29.661454916631055</v>
      </c>
      <c r="BM39" s="7">
        <f t="shared" si="46"/>
        <v>29.661454916631055</v>
      </c>
      <c r="BO39" s="7">
        <f t="shared" si="47"/>
        <v>1352860.2880194203</v>
      </c>
      <c r="BP39" s="7">
        <f t="shared" si="48"/>
        <v>1.3528602880194203</v>
      </c>
      <c r="BQ39" s="7">
        <f t="shared" si="49"/>
        <v>-6.8642868792961904</v>
      </c>
      <c r="BR39" s="7">
        <f t="shared" si="50"/>
        <v>6.8642868792961904</v>
      </c>
      <c r="BT39" s="7">
        <f t="shared" si="51"/>
        <v>1336295.6470912565</v>
      </c>
      <c r="BU39" s="7">
        <f t="shared" si="52"/>
        <v>1.3362956470912564</v>
      </c>
      <c r="BV39" s="7">
        <f t="shared" si="53"/>
        <v>-5.5558232072703424</v>
      </c>
      <c r="BW39" s="7">
        <f t="shared" si="54"/>
        <v>5.5558232072703424</v>
      </c>
      <c r="BY39" s="7">
        <f t="shared" si="55"/>
        <v>0.25641961474096359</v>
      </c>
      <c r="BZ39" s="7">
        <f t="shared" si="56"/>
        <v>1631.8941334011786</v>
      </c>
      <c r="CA39" s="7">
        <f t="shared" si="57"/>
        <v>0.3079851606453598</v>
      </c>
      <c r="CB39" s="7">
        <f t="shared" si="58"/>
        <v>0.91156990048771003</v>
      </c>
      <c r="CC39" s="7">
        <f t="shared" si="59"/>
        <v>2.7046337148011541</v>
      </c>
      <c r="CD39" s="7">
        <f t="shared" si="60"/>
        <v>8351847.7943203524</v>
      </c>
      <c r="CE39" s="7">
        <f t="shared" si="61"/>
        <v>6341774.5225832332</v>
      </c>
      <c r="CF39" s="7">
        <f t="shared" si="62"/>
        <v>6.3417745225832336</v>
      </c>
      <c r="CG39" s="7">
        <f t="shared" si="63"/>
        <v>-400.94545453567031</v>
      </c>
      <c r="CH39" s="7">
        <f t="shared" si="64"/>
        <v>400.94545453567031</v>
      </c>
      <c r="CJ39" s="7">
        <f t="shared" si="65"/>
        <v>1.5438134602341049</v>
      </c>
      <c r="CK39" s="7">
        <f t="shared" si="66"/>
        <v>7.9441638524897912E-2</v>
      </c>
      <c r="CL39" s="7">
        <f t="shared" si="67"/>
        <v>0.29989300000000002</v>
      </c>
      <c r="CM39" s="7">
        <f t="shared" si="68"/>
        <v>407.15719744259638</v>
      </c>
      <c r="CN39" s="7">
        <f t="shared" si="69"/>
        <v>123.10359341265257</v>
      </c>
      <c r="CO39" s="7">
        <f t="shared" si="70"/>
        <v>0.49020089748904444</v>
      </c>
      <c r="CP39" s="7">
        <f t="shared" si="71"/>
        <v>3.8338861162786307E-2</v>
      </c>
      <c r="CQ39" s="7">
        <f t="shared" si="72"/>
        <v>1.0383388611627864</v>
      </c>
      <c r="CR39" s="7">
        <f t="shared" si="73"/>
        <v>10.154488023506758</v>
      </c>
      <c r="CS39" s="7">
        <f t="shared" si="74"/>
        <v>11.109944730606633</v>
      </c>
      <c r="CT39" s="7">
        <f t="shared" si="75"/>
        <v>-777.58974922887921</v>
      </c>
      <c r="CU39" s="7">
        <f t="shared" si="76"/>
        <v>777.58974922887921</v>
      </c>
      <c r="CW39" s="7">
        <f t="shared" si="77"/>
        <v>1.12024469059895</v>
      </c>
      <c r="CX39" s="7">
        <f t="shared" si="78"/>
        <v>1.2256508224244083</v>
      </c>
      <c r="CY39" s="7">
        <f t="shared" si="79"/>
        <v>3.1841630201454416</v>
      </c>
      <c r="CZ39" s="7">
        <f t="shared" si="80"/>
        <v>3.1841630201454416</v>
      </c>
      <c r="DB39" s="7">
        <f t="shared" si="81"/>
        <v>1.1303521279534736</v>
      </c>
      <c r="DC39" s="7">
        <f t="shared" si="82"/>
        <v>1.2367092893916132</v>
      </c>
      <c r="DD39" s="7">
        <f t="shared" si="83"/>
        <v>2.3106395699459465</v>
      </c>
      <c r="DE39" s="7">
        <f t="shared" si="84"/>
        <v>2.3106395699459465</v>
      </c>
      <c r="DG39" s="7">
        <f t="shared" si="85"/>
        <v>8351847.7943203524</v>
      </c>
      <c r="DH39" s="7">
        <f t="shared" si="86"/>
        <v>0.17230060940112779</v>
      </c>
      <c r="DI39" s="7">
        <f t="shared" si="87"/>
        <v>1439028.4645868617</v>
      </c>
      <c r="DJ39" s="7">
        <f t="shared" si="88"/>
        <v>1.4390284645868616</v>
      </c>
      <c r="DK39" s="7">
        <f t="shared" si="89"/>
        <v>-13.670829152814914</v>
      </c>
      <c r="DL39" s="7">
        <f t="shared" si="90"/>
        <v>13.670829152814914</v>
      </c>
    </row>
    <row r="40" spans="1:116" x14ac:dyDescent="0.3">
      <c r="A40" s="7">
        <v>39</v>
      </c>
      <c r="B40" s="8" t="s">
        <v>44</v>
      </c>
      <c r="C40" s="9">
        <v>0</v>
      </c>
      <c r="D40" s="7">
        <v>130</v>
      </c>
      <c r="E40" s="10">
        <v>100</v>
      </c>
      <c r="F40" s="9">
        <v>10</v>
      </c>
      <c r="G40" s="21">
        <f t="shared" si="25"/>
        <v>1.5915494309189535</v>
      </c>
      <c r="H40" s="7">
        <v>0.2</v>
      </c>
      <c r="I40" s="7">
        <v>155.859465496155</v>
      </c>
      <c r="J40" s="7">
        <f>I40*K38</f>
        <v>7.8250967065833326</v>
      </c>
      <c r="K40" s="7">
        <f t="shared" si="0"/>
        <v>5.0206105106759623E-2</v>
      </c>
      <c r="L40" s="7">
        <f t="shared" si="26"/>
        <v>3.9999999999999998E-6</v>
      </c>
      <c r="M40" s="7">
        <f t="shared" si="1"/>
        <v>2.0082442042703847E-6</v>
      </c>
      <c r="N40" s="7">
        <f t="shared" si="2"/>
        <v>1219.6153901438011</v>
      </c>
      <c r="O40" s="7">
        <f t="shared" si="3"/>
        <v>1.5400000000000002E-5</v>
      </c>
      <c r="P40" s="7">
        <f t="shared" si="4"/>
        <v>9.9999999999999995E-8</v>
      </c>
      <c r="Q40" s="7">
        <v>0.02</v>
      </c>
      <c r="R40" s="7">
        <f t="shared" si="5"/>
        <v>1.2987012987012987E-4</v>
      </c>
      <c r="S40" s="7">
        <f t="shared" si="6"/>
        <v>3.1548276603567698</v>
      </c>
      <c r="T40" s="9">
        <f t="shared" si="7"/>
        <v>1216.4605624834444</v>
      </c>
      <c r="U40" s="11">
        <f t="shared" si="27"/>
        <v>1.2164605624834444</v>
      </c>
      <c r="V40" s="16">
        <v>96.642291157360006</v>
      </c>
      <c r="W40" s="16">
        <v>96.645494671150004</v>
      </c>
      <c r="X40" s="7">
        <f t="shared" si="8"/>
        <v>96.643892914255005</v>
      </c>
      <c r="Y40" s="7">
        <v>99.4</v>
      </c>
      <c r="Z40" s="9">
        <f t="shared" si="9"/>
        <v>2.7561070857450005</v>
      </c>
      <c r="AA40" s="9">
        <f t="shared" si="10"/>
        <v>5.6971221417149005E-2</v>
      </c>
      <c r="AB40" s="9">
        <f t="shared" si="11"/>
        <v>962.93307299506887</v>
      </c>
      <c r="AC40" s="12">
        <v>0.99839999999999995</v>
      </c>
      <c r="AD40" s="12">
        <f t="shared" si="12"/>
        <v>2258180.3232856165</v>
      </c>
      <c r="AE40" s="12">
        <f t="shared" si="13"/>
        <v>0.59000762111999994</v>
      </c>
      <c r="AF40" s="12">
        <v>9.81</v>
      </c>
      <c r="AG40" s="7">
        <f t="shared" si="14"/>
        <v>1216460.5624834443</v>
      </c>
      <c r="AH40" s="7">
        <f t="shared" si="15"/>
        <v>1.2164605624834444</v>
      </c>
      <c r="AI40" s="7">
        <f t="shared" si="16"/>
        <v>2.6457513110645908E-2</v>
      </c>
      <c r="AJ40" s="7">
        <f t="shared" si="17"/>
        <v>1.4143549766589715E-2</v>
      </c>
      <c r="AK40" s="7">
        <f t="shared" si="18"/>
        <v>3.0000666659259424E-2</v>
      </c>
      <c r="AL40" s="7">
        <f t="shared" si="28"/>
        <v>1.5813987312284776</v>
      </c>
      <c r="AM40" s="7">
        <f t="shared" si="29"/>
        <v>0.85152239373841099</v>
      </c>
      <c r="AN40" s="7">
        <f t="shared" si="30"/>
        <v>1.2164605624834444</v>
      </c>
      <c r="AO40" s="9">
        <f t="shared" si="19"/>
        <v>4310.6518556615383</v>
      </c>
      <c r="AP40" s="9">
        <f t="shared" si="20"/>
        <v>0.67811614403514109</v>
      </c>
      <c r="AQ40" s="9">
        <f t="shared" si="21"/>
        <v>10</v>
      </c>
      <c r="AR40" s="9">
        <f t="shared" si="22"/>
        <v>2.2222250903801682E-4</v>
      </c>
      <c r="AS40" s="12">
        <f t="shared" si="23"/>
        <v>1.2798654923651744E-5</v>
      </c>
      <c r="AT40" s="9">
        <f t="shared" si="24"/>
        <v>0.70790191642208022</v>
      </c>
      <c r="AU40" s="9">
        <f t="shared" si="31"/>
        <v>5.2611467742675619E-3</v>
      </c>
      <c r="AV40" s="9">
        <f t="shared" si="32"/>
        <v>4.0707243874246792</v>
      </c>
      <c r="AY40" s="7">
        <f t="shared" si="33"/>
        <v>1094264.5752376379</v>
      </c>
      <c r="AZ40" s="7">
        <f t="shared" si="34"/>
        <v>1.0942645752376379</v>
      </c>
      <c r="BA40" s="7">
        <f t="shared" si="35"/>
        <v>10.04520746618693</v>
      </c>
      <c r="BB40" s="7">
        <f t="shared" si="36"/>
        <v>10.04520746618693</v>
      </c>
      <c r="BD40" s="7">
        <f t="shared" si="37"/>
        <v>29236076.437646814</v>
      </c>
      <c r="BE40" s="7">
        <f t="shared" si="38"/>
        <v>0.30199517204020154</v>
      </c>
      <c r="BF40" s="7">
        <f t="shared" si="39"/>
        <v>6.1782567277980538E-2</v>
      </c>
      <c r="BG40" s="7">
        <f t="shared" si="40"/>
        <v>1.0105499732139156</v>
      </c>
      <c r="BH40" s="7">
        <f t="shared" si="41"/>
        <v>1.0683281572999748</v>
      </c>
      <c r="BI40" s="7">
        <f t="shared" si="42"/>
        <v>1056240.5220610865</v>
      </c>
      <c r="BJ40" s="7">
        <f t="shared" si="43"/>
        <v>1645148.5970659857</v>
      </c>
      <c r="BK40" s="7">
        <f t="shared" si="44"/>
        <v>1.6451485970659856</v>
      </c>
      <c r="BL40" s="7">
        <f t="shared" si="45"/>
        <v>-35.240602762111784</v>
      </c>
      <c r="BM40" s="7">
        <f t="shared" si="46"/>
        <v>35.240602762111784</v>
      </c>
      <c r="BO40" s="7">
        <f t="shared" si="47"/>
        <v>1352947.2559887052</v>
      </c>
      <c r="BP40" s="7">
        <f t="shared" si="48"/>
        <v>1.3529472559887052</v>
      </c>
      <c r="BQ40" s="7">
        <f t="shared" si="49"/>
        <v>-11.219985071001298</v>
      </c>
      <c r="BR40" s="7">
        <f t="shared" si="50"/>
        <v>11.219985071001298</v>
      </c>
      <c r="BT40" s="7">
        <f t="shared" si="51"/>
        <v>1336506.351435283</v>
      </c>
      <c r="BU40" s="7">
        <f t="shared" si="52"/>
        <v>1.3365063514352831</v>
      </c>
      <c r="BV40" s="7">
        <f t="shared" si="53"/>
        <v>-9.8684488962602508</v>
      </c>
      <c r="BW40" s="7">
        <f t="shared" si="54"/>
        <v>9.8684488962602508</v>
      </c>
      <c r="BY40" s="7">
        <f t="shared" si="55"/>
        <v>0.25642510586007244</v>
      </c>
      <c r="BZ40" s="7">
        <f t="shared" si="56"/>
        <v>1632.0688725463442</v>
      </c>
      <c r="CA40" s="7">
        <f t="shared" si="57"/>
        <v>0.30798928273741422</v>
      </c>
      <c r="CB40" s="7">
        <f t="shared" si="58"/>
        <v>0.91156779683502109</v>
      </c>
      <c r="CC40" s="7">
        <f t="shared" si="59"/>
        <v>2.7046699067159228</v>
      </c>
      <c r="CD40" s="7">
        <f t="shared" si="60"/>
        <v>8353164.6964705177</v>
      </c>
      <c r="CE40" s="7">
        <f t="shared" si="61"/>
        <v>6342929.6114700064</v>
      </c>
      <c r="CF40" s="7">
        <f t="shared" si="62"/>
        <v>6.342929611470006</v>
      </c>
      <c r="CG40" s="7">
        <f t="shared" si="63"/>
        <v>-421.42501015575107</v>
      </c>
      <c r="CH40" s="7">
        <f t="shared" si="64"/>
        <v>421.42501015575107</v>
      </c>
      <c r="CJ40" s="7">
        <f t="shared" si="65"/>
        <v>1.5438134602341049</v>
      </c>
      <c r="CK40" s="7">
        <f t="shared" si="66"/>
        <v>7.9441638524897912E-2</v>
      </c>
      <c r="CL40" s="7">
        <f t="shared" si="67"/>
        <v>0.29989300000000002</v>
      </c>
      <c r="CM40" s="7">
        <f t="shared" si="68"/>
        <v>407.07243874246797</v>
      </c>
      <c r="CN40" s="7">
        <f t="shared" si="69"/>
        <v>123.07817487179496</v>
      </c>
      <c r="CO40" s="7">
        <f t="shared" si="70"/>
        <v>0.49016036593451956</v>
      </c>
      <c r="CP40" s="7">
        <f t="shared" si="71"/>
        <v>4.0528033731104751E-2</v>
      </c>
      <c r="CQ40" s="7">
        <f t="shared" si="72"/>
        <v>1.0405280337311047</v>
      </c>
      <c r="CR40" s="7">
        <f t="shared" si="73"/>
        <v>10.173796020246863</v>
      </c>
      <c r="CS40" s="7">
        <f t="shared" si="74"/>
        <v>11.132824580649805</v>
      </c>
      <c r="CT40" s="7">
        <f t="shared" si="75"/>
        <v>-815.18171028263964</v>
      </c>
      <c r="CU40" s="7">
        <f t="shared" si="76"/>
        <v>815.18171028263964</v>
      </c>
      <c r="CW40" s="7">
        <f t="shared" si="77"/>
        <v>1.127111416937983</v>
      </c>
      <c r="CX40" s="7">
        <f t="shared" si="78"/>
        <v>1.2333580959011341</v>
      </c>
      <c r="CY40" s="7">
        <f t="shared" si="79"/>
        <v>-1.3890736731483397</v>
      </c>
      <c r="CZ40" s="7">
        <f t="shared" si="80"/>
        <v>1.3890736731483397</v>
      </c>
      <c r="DB40" s="7">
        <f t="shared" si="81"/>
        <v>1.1377953146857562</v>
      </c>
      <c r="DC40" s="7">
        <f t="shared" si="82"/>
        <v>1.2450491067319835</v>
      </c>
      <c r="DD40" s="7">
        <f t="shared" si="83"/>
        <v>-2.3501414785017549</v>
      </c>
      <c r="DE40" s="7">
        <f t="shared" si="84"/>
        <v>2.3501414785017549</v>
      </c>
      <c r="DG40" s="7">
        <f t="shared" si="85"/>
        <v>8353164.6964705177</v>
      </c>
      <c r="DH40" s="7">
        <f t="shared" si="86"/>
        <v>0.17230060940112779</v>
      </c>
      <c r="DI40" s="7">
        <f t="shared" si="87"/>
        <v>1439255.3676298568</v>
      </c>
      <c r="DJ40" s="7">
        <f t="shared" si="88"/>
        <v>1.4392553676298567</v>
      </c>
      <c r="DK40" s="7">
        <f t="shared" si="89"/>
        <v>-18.315004367389388</v>
      </c>
      <c r="DL40" s="7">
        <f t="shared" si="90"/>
        <v>18.315004367389388</v>
      </c>
    </row>
    <row r="41" spans="1:116" x14ac:dyDescent="0.3">
      <c r="A41" s="7">
        <v>40</v>
      </c>
      <c r="B41" s="8" t="s">
        <v>44</v>
      </c>
      <c r="C41" s="9">
        <v>0</v>
      </c>
      <c r="D41" s="7">
        <v>130</v>
      </c>
      <c r="E41" s="10">
        <v>100</v>
      </c>
      <c r="F41" s="9">
        <v>20</v>
      </c>
      <c r="G41" s="21">
        <f t="shared" si="25"/>
        <v>3.183098861837907</v>
      </c>
      <c r="H41" s="7">
        <v>0.2</v>
      </c>
      <c r="I41" s="7">
        <v>331.09790551493597</v>
      </c>
      <c r="J41" s="7">
        <v>7.3210627840909996</v>
      </c>
      <c r="K41" s="7">
        <f t="shared" si="0"/>
        <v>2.2111474165639938E-2</v>
      </c>
      <c r="L41" s="7">
        <f t="shared" si="26"/>
        <v>7.9999999999999996E-6</v>
      </c>
      <c r="M41" s="7">
        <f t="shared" si="1"/>
        <v>1.7689179332511949E-6</v>
      </c>
      <c r="N41" s="7">
        <f t="shared" si="2"/>
        <v>2423.9885539558759</v>
      </c>
      <c r="O41" s="7">
        <f t="shared" si="3"/>
        <v>1.5400000000000002E-5</v>
      </c>
      <c r="P41" s="7">
        <f t="shared" si="4"/>
        <v>9.9999999999999995E-8</v>
      </c>
      <c r="Q41" s="7">
        <v>0.02</v>
      </c>
      <c r="R41" s="7">
        <f t="shared" si="5"/>
        <v>1.2987012987012987E-4</v>
      </c>
      <c r="S41" s="7">
        <f t="shared" si="6"/>
        <v>14.237119874854216</v>
      </c>
      <c r="T41" s="9">
        <f t="shared" si="7"/>
        <v>2409.7514340810217</v>
      </c>
      <c r="U41" s="11">
        <f t="shared" si="27"/>
        <v>1.2048757170405109</v>
      </c>
      <c r="V41" s="16">
        <v>96.678227519139995</v>
      </c>
      <c r="W41" s="16">
        <v>96.72923289597</v>
      </c>
      <c r="X41" s="7">
        <f t="shared" si="8"/>
        <v>96.703730207554997</v>
      </c>
      <c r="Y41" s="7">
        <v>99.4</v>
      </c>
      <c r="Z41" s="9">
        <f t="shared" si="9"/>
        <v>2.6962697924450083</v>
      </c>
      <c r="AA41" s="9">
        <f t="shared" si="10"/>
        <v>5.6959253958489005E-2</v>
      </c>
      <c r="AB41" s="9">
        <f t="shared" si="11"/>
        <v>962.89171089275317</v>
      </c>
      <c r="AC41" s="12">
        <v>0.99839999999999995</v>
      </c>
      <c r="AD41" s="12">
        <f t="shared" si="12"/>
        <v>2258180.3232856165</v>
      </c>
      <c r="AE41" s="12">
        <f t="shared" si="13"/>
        <v>0.59000762111999994</v>
      </c>
      <c r="AF41" s="12">
        <v>9.81</v>
      </c>
      <c r="AG41" s="7">
        <f t="shared" si="14"/>
        <v>1204875.7170405108</v>
      </c>
      <c r="AH41" s="7">
        <f t="shared" si="15"/>
        <v>1.2048757170405109</v>
      </c>
      <c r="AI41" s="7">
        <f t="shared" si="16"/>
        <v>2.6457513110645908E-2</v>
      </c>
      <c r="AJ41" s="7">
        <f t="shared" si="17"/>
        <v>1.4143549766589715E-2</v>
      </c>
      <c r="AK41" s="7">
        <f t="shared" si="18"/>
        <v>3.0000666659259424E-2</v>
      </c>
      <c r="AL41" s="7">
        <f t="shared" si="28"/>
        <v>1.5663384321526641</v>
      </c>
      <c r="AM41" s="7">
        <f t="shared" si="29"/>
        <v>0.84341300192835755</v>
      </c>
      <c r="AN41" s="7">
        <f t="shared" si="30"/>
        <v>1.2048757170405109</v>
      </c>
      <c r="AO41" s="9">
        <f t="shared" si="19"/>
        <v>4310.9335563461864</v>
      </c>
      <c r="AP41" s="9">
        <f t="shared" si="20"/>
        <v>0.67813209209606506</v>
      </c>
      <c r="AQ41" s="9">
        <f t="shared" si="21"/>
        <v>5</v>
      </c>
      <c r="AR41" s="9">
        <f t="shared" si="22"/>
        <v>2.2207598462503577E-4</v>
      </c>
      <c r="AS41" s="12">
        <f t="shared" si="23"/>
        <v>1.2798654923651744E-5</v>
      </c>
      <c r="AT41" s="9">
        <f t="shared" si="24"/>
        <v>0.70833935553751182</v>
      </c>
      <c r="AU41" s="9">
        <f t="shared" si="31"/>
        <v>5.1472594129692148E-3</v>
      </c>
      <c r="AV41" s="9">
        <f t="shared" si="32"/>
        <v>8.1421290294293005</v>
      </c>
      <c r="AY41" s="7">
        <f t="shared" si="33"/>
        <v>1094195.3473886882</v>
      </c>
      <c r="AZ41" s="7">
        <f t="shared" si="34"/>
        <v>1.0941953473886883</v>
      </c>
      <c r="BA41" s="7">
        <f t="shared" si="35"/>
        <v>9.1860403597212876</v>
      </c>
      <c r="BB41" s="7">
        <f t="shared" si="36"/>
        <v>9.1860403597212876</v>
      </c>
      <c r="BD41" s="7">
        <f t="shared" si="37"/>
        <v>29234226.838629074</v>
      </c>
      <c r="BE41" s="7">
        <f t="shared" si="38"/>
        <v>0.43304756182248977</v>
      </c>
      <c r="BF41" s="7">
        <f t="shared" si="39"/>
        <v>2.688972824138175E-2</v>
      </c>
      <c r="BG41" s="7">
        <f t="shared" si="40"/>
        <v>1.0103210131054026</v>
      </c>
      <c r="BH41" s="7">
        <f t="shared" si="41"/>
        <v>1.0683281572999748</v>
      </c>
      <c r="BI41" s="7">
        <f t="shared" si="42"/>
        <v>1054990.2212153468</v>
      </c>
      <c r="BJ41" s="7">
        <f t="shared" si="43"/>
        <v>1422422.8196266096</v>
      </c>
      <c r="BK41" s="7">
        <f t="shared" si="44"/>
        <v>1.4224228196266095</v>
      </c>
      <c r="BL41" s="7">
        <f t="shared" si="45"/>
        <v>-18.055563699171486</v>
      </c>
      <c r="BM41" s="7">
        <f t="shared" si="46"/>
        <v>18.055563699171486</v>
      </c>
      <c r="BO41" s="7">
        <f t="shared" si="47"/>
        <v>1352912.3653810422</v>
      </c>
      <c r="BP41" s="7">
        <f t="shared" si="48"/>
        <v>1.3529123653810422</v>
      </c>
      <c r="BQ41" s="7">
        <f t="shared" si="49"/>
        <v>-12.286466250987941</v>
      </c>
      <c r="BR41" s="7">
        <f t="shared" si="50"/>
        <v>12.286466250987941</v>
      </c>
      <c r="BT41" s="7">
        <f t="shared" si="51"/>
        <v>1336421.7983373292</v>
      </c>
      <c r="BU41" s="7">
        <f t="shared" si="52"/>
        <v>1.3364217983373292</v>
      </c>
      <c r="BV41" s="7">
        <f t="shared" si="53"/>
        <v>-10.91781330110377</v>
      </c>
      <c r="BW41" s="7">
        <f t="shared" si="54"/>
        <v>10.91781330110377</v>
      </c>
      <c r="BY41" s="7">
        <f t="shared" si="55"/>
        <v>0.25642290291077074</v>
      </c>
      <c r="BZ41" s="7">
        <f t="shared" si="56"/>
        <v>1631.9987681937305</v>
      </c>
      <c r="CA41" s="7">
        <f t="shared" si="57"/>
        <v>0.30798762902388166</v>
      </c>
      <c r="CB41" s="7">
        <f t="shared" si="58"/>
        <v>0.91156864078817068</v>
      </c>
      <c r="CC41" s="7">
        <f t="shared" si="59"/>
        <v>2.7046553871324774</v>
      </c>
      <c r="CD41" s="7">
        <f t="shared" si="60"/>
        <v>8352636.2396083064</v>
      </c>
      <c r="CE41" s="7">
        <f t="shared" si="61"/>
        <v>6342466.0985337589</v>
      </c>
      <c r="CF41" s="7">
        <f t="shared" si="62"/>
        <v>6.3424660985337589</v>
      </c>
      <c r="CG41" s="7">
        <f t="shared" si="63"/>
        <v>-426.40002689343851</v>
      </c>
      <c r="CH41" s="7">
        <f t="shared" si="64"/>
        <v>426.40002689343851</v>
      </c>
      <c r="CJ41" s="7">
        <f t="shared" si="65"/>
        <v>1.5438134602341049</v>
      </c>
      <c r="CK41" s="7">
        <f t="shared" si="66"/>
        <v>7.9441638524897912E-2</v>
      </c>
      <c r="CL41" s="7">
        <f t="shared" si="67"/>
        <v>0.29989300000000002</v>
      </c>
      <c r="CM41" s="7">
        <f t="shared" si="68"/>
        <v>407.10645147146499</v>
      </c>
      <c r="CN41" s="7">
        <f t="shared" si="69"/>
        <v>123.08837505113206</v>
      </c>
      <c r="CO41" s="7">
        <f t="shared" si="70"/>
        <v>0.49017660588432699</v>
      </c>
      <c r="CP41" s="7">
        <f t="shared" si="71"/>
        <v>3.9649451262273983E-2</v>
      </c>
      <c r="CQ41" s="7">
        <f t="shared" si="72"/>
        <v>1.039649451262274</v>
      </c>
      <c r="CR41" s="7">
        <f t="shared" si="73"/>
        <v>10.166048099811897</v>
      </c>
      <c r="CS41" s="7">
        <f t="shared" si="74"/>
        <v>11.123642532143794</v>
      </c>
      <c r="CT41" s="7">
        <f t="shared" si="75"/>
        <v>-823.21908183744972</v>
      </c>
      <c r="CU41" s="7">
        <f t="shared" si="76"/>
        <v>823.21908183744972</v>
      </c>
      <c r="CW41" s="7">
        <f t="shared" si="77"/>
        <v>1.1243555791459841</v>
      </c>
      <c r="CX41" s="7">
        <f t="shared" si="78"/>
        <v>1.2302646435120499</v>
      </c>
      <c r="CY41" s="7">
        <f t="shared" si="79"/>
        <v>-2.1071821858855979</v>
      </c>
      <c r="CZ41" s="7">
        <f t="shared" si="80"/>
        <v>2.1071821858855979</v>
      </c>
      <c r="DB41" s="7">
        <f t="shared" si="81"/>
        <v>1.1348081342917313</v>
      </c>
      <c r="DC41" s="7">
        <f t="shared" si="82"/>
        <v>1.2417017807208501</v>
      </c>
      <c r="DD41" s="7">
        <f t="shared" si="83"/>
        <v>-3.0564201070292687</v>
      </c>
      <c r="DE41" s="7">
        <f t="shared" si="84"/>
        <v>3.0564201070292687</v>
      </c>
      <c r="DG41" s="7">
        <f t="shared" si="85"/>
        <v>8352636.2396083064</v>
      </c>
      <c r="DH41" s="7">
        <f t="shared" si="86"/>
        <v>0.17230060940112779</v>
      </c>
      <c r="DI41" s="7">
        <f t="shared" si="87"/>
        <v>1439164.3141904557</v>
      </c>
      <c r="DJ41" s="7">
        <f t="shared" si="88"/>
        <v>1.4391643141904558</v>
      </c>
      <c r="DK41" s="7">
        <f t="shared" si="89"/>
        <v>-19.445042657629351</v>
      </c>
      <c r="DL41" s="7">
        <f t="shared" si="90"/>
        <v>19.445042657629351</v>
      </c>
    </row>
    <row r="42" spans="1:116" x14ac:dyDescent="0.3">
      <c r="A42" s="7">
        <v>41</v>
      </c>
      <c r="B42" s="8" t="s">
        <v>44</v>
      </c>
      <c r="C42" s="9">
        <v>0</v>
      </c>
      <c r="D42" s="7">
        <v>130</v>
      </c>
      <c r="E42" s="10">
        <v>100</v>
      </c>
      <c r="F42" s="9">
        <v>20</v>
      </c>
      <c r="G42" s="21">
        <f t="shared" si="25"/>
        <v>3.183098861837907</v>
      </c>
      <c r="H42" s="7">
        <v>0.2</v>
      </c>
      <c r="I42" s="7">
        <v>349.84782642996601</v>
      </c>
      <c r="J42" s="7">
        <v>7.5474660734999999</v>
      </c>
      <c r="K42" s="7">
        <f t="shared" si="0"/>
        <v>2.1573568572708805E-2</v>
      </c>
      <c r="L42" s="7">
        <f t="shared" si="26"/>
        <v>7.9999999999999996E-6</v>
      </c>
      <c r="M42" s="7">
        <f t="shared" si="1"/>
        <v>1.7258854858167041E-6</v>
      </c>
      <c r="N42" s="7">
        <f t="shared" si="2"/>
        <v>2640.4646008678851</v>
      </c>
      <c r="O42" s="7">
        <f t="shared" si="3"/>
        <v>1.5400000000000002E-5</v>
      </c>
      <c r="P42" s="7">
        <f t="shared" si="4"/>
        <v>9.9999999999999995E-8</v>
      </c>
      <c r="Q42" s="7">
        <v>0.02</v>
      </c>
      <c r="R42" s="7">
        <f t="shared" si="5"/>
        <v>1.2987012987012987E-4</v>
      </c>
      <c r="S42" s="7">
        <f t="shared" si="6"/>
        <v>15.895259955554755</v>
      </c>
      <c r="T42" s="9">
        <f t="shared" si="7"/>
        <v>2624.5693409123305</v>
      </c>
      <c r="U42" s="11">
        <f t="shared" si="27"/>
        <v>1.3122846704561653</v>
      </c>
      <c r="V42" s="16">
        <v>96.672430629559997</v>
      </c>
      <c r="W42" s="16">
        <v>96.666635436649997</v>
      </c>
      <c r="X42" s="7">
        <f t="shared" si="8"/>
        <v>96.669533033104997</v>
      </c>
      <c r="Y42" s="7">
        <v>99.4</v>
      </c>
      <c r="Z42" s="9">
        <f t="shared" si="9"/>
        <v>2.7304669668950083</v>
      </c>
      <c r="AA42" s="9">
        <f t="shared" si="10"/>
        <v>5.6966093393379005E-2</v>
      </c>
      <c r="AB42" s="9">
        <f t="shared" si="11"/>
        <v>962.91535207620302</v>
      </c>
      <c r="AC42" s="12">
        <v>0.99839999999999995</v>
      </c>
      <c r="AD42" s="12">
        <f t="shared" si="12"/>
        <v>2258180.3232856165</v>
      </c>
      <c r="AE42" s="12">
        <f t="shared" si="13"/>
        <v>0.59000762111999994</v>
      </c>
      <c r="AF42" s="12">
        <v>9.81</v>
      </c>
      <c r="AG42" s="7">
        <f t="shared" si="14"/>
        <v>1312284.6704561652</v>
      </c>
      <c r="AH42" s="7">
        <f t="shared" si="15"/>
        <v>1.3122846704561653</v>
      </c>
      <c r="AI42" s="7">
        <f t="shared" si="16"/>
        <v>2.6457513110645908E-2</v>
      </c>
      <c r="AJ42" s="7">
        <f t="shared" si="17"/>
        <v>1.4143549766589715E-2</v>
      </c>
      <c r="AK42" s="7">
        <f t="shared" si="18"/>
        <v>3.0000666659259424E-2</v>
      </c>
      <c r="AL42" s="7">
        <f t="shared" si="28"/>
        <v>1.7059700715930148</v>
      </c>
      <c r="AM42" s="7">
        <f t="shared" si="29"/>
        <v>0.91859926931931557</v>
      </c>
      <c r="AN42" s="7">
        <f t="shared" si="30"/>
        <v>1.3122846704561653</v>
      </c>
      <c r="AO42" s="9">
        <f t="shared" si="19"/>
        <v>4310.7725128969096</v>
      </c>
      <c r="AP42" s="9">
        <f t="shared" si="20"/>
        <v>0.67812298650444514</v>
      </c>
      <c r="AQ42" s="9">
        <f t="shared" si="21"/>
        <v>5</v>
      </c>
      <c r="AR42" s="9">
        <f t="shared" si="22"/>
        <v>2.2215964480833779E-4</v>
      </c>
      <c r="AS42" s="12">
        <f t="shared" si="23"/>
        <v>1.2798654923651744E-5</v>
      </c>
      <c r="AT42" s="9">
        <f t="shared" si="24"/>
        <v>0.70808955579040522</v>
      </c>
      <c r="AU42" s="9">
        <f t="shared" si="31"/>
        <v>5.2123481136077841E-3</v>
      </c>
      <c r="AV42" s="9">
        <f t="shared" si="32"/>
        <v>8.1417402451929259</v>
      </c>
      <c r="AY42" s="7">
        <f t="shared" si="33"/>
        <v>1094234.9130426822</v>
      </c>
      <c r="AZ42" s="7">
        <f t="shared" si="34"/>
        <v>1.0942349130426823</v>
      </c>
      <c r="BA42" s="7">
        <f t="shared" si="35"/>
        <v>16.616040888269033</v>
      </c>
      <c r="BB42" s="7">
        <f t="shared" si="36"/>
        <v>16.616040888269033</v>
      </c>
      <c r="BD42" s="7">
        <f t="shared" si="37"/>
        <v>29235283.936254866</v>
      </c>
      <c r="BE42" s="7">
        <f t="shared" si="38"/>
        <v>0.43304756182248977</v>
      </c>
      <c r="BF42" s="7">
        <f t="shared" si="39"/>
        <v>2.6891269094133106E-2</v>
      </c>
      <c r="BG42" s="7">
        <f t="shared" si="40"/>
        <v>1.0104518648000729</v>
      </c>
      <c r="BH42" s="7">
        <f t="shared" si="41"/>
        <v>1.0683281572999748</v>
      </c>
      <c r="BI42" s="7">
        <f t="shared" si="42"/>
        <v>1055704.6095847704</v>
      </c>
      <c r="BJ42" s="7">
        <f t="shared" si="43"/>
        <v>1423219.142300939</v>
      </c>
      <c r="BK42" s="7">
        <f t="shared" si="44"/>
        <v>1.423219142300939</v>
      </c>
      <c r="BL42" s="7">
        <f t="shared" si="45"/>
        <v>-8.4535371282064649</v>
      </c>
      <c r="BM42" s="7">
        <f t="shared" si="46"/>
        <v>8.4535371282064649</v>
      </c>
      <c r="BO42" s="7">
        <f t="shared" si="47"/>
        <v>1352932.3077497357</v>
      </c>
      <c r="BP42" s="7">
        <f t="shared" si="48"/>
        <v>1.3529323077497357</v>
      </c>
      <c r="BQ42" s="7">
        <f t="shared" si="49"/>
        <v>-3.0974710143829443</v>
      </c>
      <c r="BR42" s="7">
        <f t="shared" si="50"/>
        <v>3.0974710143829443</v>
      </c>
      <c r="BT42" s="7">
        <f t="shared" si="51"/>
        <v>1336470.1228002226</v>
      </c>
      <c r="BU42" s="7">
        <f t="shared" si="52"/>
        <v>1.3364701228002227</v>
      </c>
      <c r="BV42" s="7">
        <f t="shared" si="53"/>
        <v>-1.8430034952439325</v>
      </c>
      <c r="BW42" s="7">
        <f t="shared" si="54"/>
        <v>1.8430034952439325</v>
      </c>
      <c r="BY42" s="7">
        <f t="shared" si="55"/>
        <v>0.25642416205160351</v>
      </c>
      <c r="BZ42" s="7">
        <f t="shared" si="56"/>
        <v>1632.0388374786069</v>
      </c>
      <c r="CA42" s="7">
        <f t="shared" si="57"/>
        <v>0.30798857423840381</v>
      </c>
      <c r="CB42" s="7">
        <f t="shared" si="58"/>
        <v>0.91156815840965788</v>
      </c>
      <c r="CC42" s="7">
        <f t="shared" si="59"/>
        <v>2.7046636861037543</v>
      </c>
      <c r="CD42" s="7">
        <f t="shared" si="60"/>
        <v>8352938.2675013905</v>
      </c>
      <c r="CE42" s="7">
        <f t="shared" si="61"/>
        <v>6342731.0108345496</v>
      </c>
      <c r="CF42" s="7">
        <f t="shared" si="62"/>
        <v>6.3427310108345498</v>
      </c>
      <c r="CG42" s="7">
        <f t="shared" si="63"/>
        <v>-383.33499229475444</v>
      </c>
      <c r="CH42" s="7">
        <f t="shared" si="64"/>
        <v>383.33499229475444</v>
      </c>
      <c r="CJ42" s="7">
        <f t="shared" si="65"/>
        <v>1.5438134602341049</v>
      </c>
      <c r="CK42" s="7">
        <f t="shared" si="66"/>
        <v>7.9441638524897912E-2</v>
      </c>
      <c r="CL42" s="7">
        <f t="shared" si="67"/>
        <v>0.29989300000000002</v>
      </c>
      <c r="CM42" s="7">
        <f t="shared" si="68"/>
        <v>407.08701225964631</v>
      </c>
      <c r="CN42" s="7">
        <f t="shared" si="69"/>
        <v>123.08254536758211</v>
      </c>
      <c r="CO42" s="7">
        <f t="shared" si="70"/>
        <v>0.49016732021647941</v>
      </c>
      <c r="CP42" s="7">
        <f t="shared" si="71"/>
        <v>4.0151570283076345E-2</v>
      </c>
      <c r="CQ42" s="7">
        <f t="shared" si="72"/>
        <v>1.0401515702830764</v>
      </c>
      <c r="CR42" s="7">
        <f t="shared" si="73"/>
        <v>10.170476276828149</v>
      </c>
      <c r="CS42" s="7">
        <f t="shared" si="74"/>
        <v>11.128890224377713</v>
      </c>
      <c r="CT42" s="7">
        <f t="shared" si="75"/>
        <v>-748.05457801386819</v>
      </c>
      <c r="CU42" s="7">
        <f t="shared" si="76"/>
        <v>748.05457801386819</v>
      </c>
      <c r="CW42" s="7">
        <f t="shared" si="77"/>
        <v>1.1259305676801621</v>
      </c>
      <c r="CX42" s="7">
        <f t="shared" si="78"/>
        <v>1.2320325368175999</v>
      </c>
      <c r="CY42" s="7">
        <f t="shared" si="79"/>
        <v>6.1154515819093387</v>
      </c>
      <c r="CZ42" s="7">
        <f t="shared" si="80"/>
        <v>6.1154515819093387</v>
      </c>
      <c r="DB42" s="7">
        <f t="shared" si="81"/>
        <v>1.1365153389624596</v>
      </c>
      <c r="DC42" s="7">
        <f t="shared" si="82"/>
        <v>1.2436147631012615</v>
      </c>
      <c r="DD42" s="7">
        <f t="shared" si="83"/>
        <v>5.2328514460992137</v>
      </c>
      <c r="DE42" s="7">
        <f t="shared" si="84"/>
        <v>5.2328514460992137</v>
      </c>
      <c r="DG42" s="7">
        <f t="shared" si="85"/>
        <v>8352938.2675013905</v>
      </c>
      <c r="DH42" s="7">
        <f t="shared" si="86"/>
        <v>0.17230060940112779</v>
      </c>
      <c r="DI42" s="7">
        <f t="shared" si="87"/>
        <v>1439216.3537804901</v>
      </c>
      <c r="DJ42" s="7">
        <f t="shared" si="88"/>
        <v>1.4392163537804901</v>
      </c>
      <c r="DK42" s="7">
        <f t="shared" si="89"/>
        <v>-9.6725722841982069</v>
      </c>
      <c r="DL42" s="7">
        <f t="shared" si="90"/>
        <v>9.6725722841982069</v>
      </c>
    </row>
    <row r="43" spans="1:116" x14ac:dyDescent="0.3">
      <c r="A43" s="7">
        <v>42</v>
      </c>
      <c r="B43" s="8" t="s">
        <v>42</v>
      </c>
      <c r="C43" s="9">
        <v>90</v>
      </c>
      <c r="D43" s="7">
        <v>130</v>
      </c>
      <c r="E43" s="10">
        <v>100</v>
      </c>
      <c r="F43" s="9">
        <v>10</v>
      </c>
      <c r="G43" s="21">
        <f t="shared" si="25"/>
        <v>1.5915494309189535</v>
      </c>
      <c r="H43" s="7">
        <v>0.2</v>
      </c>
      <c r="I43" s="7">
        <v>145.81705854024699</v>
      </c>
      <c r="J43" s="7">
        <v>10.506117780107999</v>
      </c>
      <c r="K43" s="7">
        <f t="shared" si="0"/>
        <v>7.204999116895644E-2</v>
      </c>
      <c r="L43" s="7">
        <f t="shared" si="26"/>
        <v>3.9999999999999998E-6</v>
      </c>
      <c r="M43" s="7">
        <f t="shared" si="1"/>
        <v>2.8819996467582574E-6</v>
      </c>
      <c r="N43" s="7">
        <f t="shared" si="2"/>
        <v>1531.9711913727378</v>
      </c>
      <c r="O43" s="7">
        <f t="shared" si="3"/>
        <v>1.5400000000000002E-5</v>
      </c>
      <c r="P43" s="7">
        <f t="shared" si="4"/>
        <v>9.9999999999999995E-8</v>
      </c>
      <c r="Q43" s="7">
        <v>0.02</v>
      </c>
      <c r="R43" s="7">
        <f t="shared" si="5"/>
        <v>1.2987012987012987E-4</v>
      </c>
      <c r="S43" s="7">
        <f t="shared" si="6"/>
        <v>2.7613785144584178</v>
      </c>
      <c r="T43" s="9">
        <f t="shared" si="7"/>
        <v>1529.2098128582795</v>
      </c>
      <c r="U43" s="11">
        <f t="shared" si="27"/>
        <v>1.5292098128582796</v>
      </c>
      <c r="V43" s="7">
        <v>97.271240198100003</v>
      </c>
      <c r="W43" s="7">
        <v>99.618253566039996</v>
      </c>
      <c r="X43" s="7">
        <f t="shared" si="8"/>
        <v>98.444746882070007</v>
      </c>
      <c r="Y43" s="7">
        <v>99.4</v>
      </c>
      <c r="Z43" s="9">
        <f t="shared" si="9"/>
        <v>0.95525311792999901</v>
      </c>
      <c r="AA43" s="9">
        <f t="shared" si="10"/>
        <v>5.6611050623586005E-2</v>
      </c>
      <c r="AB43" s="9">
        <f t="shared" si="11"/>
        <v>961.67883958068933</v>
      </c>
      <c r="AC43" s="12">
        <v>0.99839999999999995</v>
      </c>
      <c r="AD43" s="12">
        <f t="shared" si="12"/>
        <v>2258180.3232856165</v>
      </c>
      <c r="AE43" s="12">
        <f t="shared" si="13"/>
        <v>0.59000762111999994</v>
      </c>
      <c r="AF43" s="12">
        <v>9.81</v>
      </c>
      <c r="AG43" s="7">
        <f t="shared" si="14"/>
        <v>1529209.8128582796</v>
      </c>
      <c r="AH43" s="7">
        <f t="shared" si="15"/>
        <v>1.5292098128582796</v>
      </c>
      <c r="AI43" s="7">
        <f t="shared" si="16"/>
        <v>2.6457513110645908E-2</v>
      </c>
      <c r="AJ43" s="7">
        <f t="shared" si="17"/>
        <v>1.4143549766589715E-2</v>
      </c>
      <c r="AK43" s="7">
        <f t="shared" si="18"/>
        <v>3.0000666659259424E-2</v>
      </c>
      <c r="AL43" s="7">
        <f t="shared" si="28"/>
        <v>1.9879727567157637</v>
      </c>
      <c r="AM43" s="7">
        <f t="shared" si="29"/>
        <v>1.0704468690007956</v>
      </c>
      <c r="AN43" s="7">
        <f t="shared" si="30"/>
        <v>1.5292098128582796</v>
      </c>
      <c r="AO43" s="9">
        <f t="shared" si="19"/>
        <v>4319.3125739418247</v>
      </c>
      <c r="AP43" s="9">
        <f t="shared" si="20"/>
        <v>0.6785647612538056</v>
      </c>
      <c r="AQ43" s="9">
        <f t="shared" si="21"/>
        <v>10</v>
      </c>
      <c r="AR43" s="9">
        <f t="shared" si="22"/>
        <v>2.1809491137164509E-4</v>
      </c>
      <c r="AS43" s="12">
        <f t="shared" si="23"/>
        <v>1.2798654923651744E-5</v>
      </c>
      <c r="AT43" s="9">
        <f t="shared" si="24"/>
        <v>0.72032939243643912</v>
      </c>
      <c r="AU43" s="9">
        <f t="shared" si="31"/>
        <v>1.8271511628304598E-3</v>
      </c>
      <c r="AV43" s="9">
        <f t="shared" si="32"/>
        <v>4.0809912311346572</v>
      </c>
      <c r="AY43" s="7">
        <f t="shared" si="33"/>
        <v>1092174.8294914267</v>
      </c>
      <c r="AZ43" s="7">
        <f t="shared" si="34"/>
        <v>1.0921748294914266</v>
      </c>
      <c r="BA43" s="7">
        <f t="shared" si="35"/>
        <v>28.579138041887223</v>
      </c>
      <c r="BB43" s="7">
        <f t="shared" si="36"/>
        <v>28.579138041887223</v>
      </c>
      <c r="BD43" s="7">
        <f t="shared" si="37"/>
        <v>29180243.536030483</v>
      </c>
      <c r="BE43" s="7">
        <f t="shared" si="38"/>
        <v>0.30199517204020154</v>
      </c>
      <c r="BF43" s="7">
        <f t="shared" si="39"/>
        <v>6.1596097205181485E-2</v>
      </c>
      <c r="BG43" s="7">
        <f t="shared" si="40"/>
        <v>1.0036576408070328</v>
      </c>
      <c r="BH43" s="7">
        <f t="shared" si="41"/>
        <v>0.98973665961010282</v>
      </c>
      <c r="BI43" s="7">
        <f t="shared" si="42"/>
        <v>1019184.066214375</v>
      </c>
      <c r="BJ43" s="7">
        <f t="shared" si="43"/>
        <v>1558380.9328478745</v>
      </c>
      <c r="BK43" s="7">
        <f t="shared" si="44"/>
        <v>1.5583809328478744</v>
      </c>
      <c r="BL43" s="7">
        <f t="shared" si="45"/>
        <v>-1.9075943499911487</v>
      </c>
      <c r="BM43" s="7">
        <f t="shared" si="46"/>
        <v>1.9075943499911487</v>
      </c>
      <c r="BO43" s="7">
        <f t="shared" si="47"/>
        <v>1351888.9924809516</v>
      </c>
      <c r="BP43" s="7">
        <f t="shared" si="48"/>
        <v>1.3518889924809516</v>
      </c>
      <c r="BQ43" s="7">
        <f t="shared" si="49"/>
        <v>11.595584784137223</v>
      </c>
      <c r="BR43" s="7">
        <f t="shared" si="50"/>
        <v>11.595584784137223</v>
      </c>
      <c r="BT43" s="7">
        <f t="shared" si="51"/>
        <v>1333953.9902185365</v>
      </c>
      <c r="BU43" s="7">
        <f t="shared" si="52"/>
        <v>1.3339539902185364</v>
      </c>
      <c r="BV43" s="7">
        <f t="shared" si="53"/>
        <v>12.76841287558744</v>
      </c>
      <c r="BW43" s="7">
        <f t="shared" si="54"/>
        <v>12.76841287558744</v>
      </c>
      <c r="BY43" s="7">
        <f t="shared" si="55"/>
        <v>0.25635827159291014</v>
      </c>
      <c r="BZ43" s="7">
        <f t="shared" si="56"/>
        <v>1629.9430806591163</v>
      </c>
      <c r="CA43" s="7">
        <f t="shared" si="57"/>
        <v>0.30793910911068689</v>
      </c>
      <c r="CB43" s="7">
        <f t="shared" si="58"/>
        <v>0.91159340037705916</v>
      </c>
      <c r="CC43" s="7">
        <f t="shared" si="59"/>
        <v>2.7042293829691828</v>
      </c>
      <c r="CD43" s="7">
        <f t="shared" si="60"/>
        <v>8337212.4388658525</v>
      </c>
      <c r="CE43" s="7">
        <f t="shared" si="61"/>
        <v>6328931.8106997227</v>
      </c>
      <c r="CF43" s="7">
        <f t="shared" si="62"/>
        <v>6.3289318106997223</v>
      </c>
      <c r="CG43" s="7">
        <f t="shared" si="63"/>
        <v>-313.8694218074744</v>
      </c>
      <c r="CH43" s="7">
        <f t="shared" si="64"/>
        <v>313.8694218074744</v>
      </c>
      <c r="CJ43" s="7">
        <f t="shared" si="65"/>
        <v>1.5438134602341049</v>
      </c>
      <c r="CK43" s="7">
        <f t="shared" si="66"/>
        <v>7.9441638524897912E-2</v>
      </c>
      <c r="CL43" s="7">
        <f t="shared" si="67"/>
        <v>0.29989300000000002</v>
      </c>
      <c r="CM43" s="7">
        <f t="shared" si="68"/>
        <v>408.09912311346574</v>
      </c>
      <c r="CN43" s="7">
        <f t="shared" si="69"/>
        <v>123.38607032786659</v>
      </c>
      <c r="CO43" s="7">
        <f t="shared" si="70"/>
        <v>0.4906652978596685</v>
      </c>
      <c r="CP43" s="7">
        <f t="shared" si="71"/>
        <v>1.4061286669215E-2</v>
      </c>
      <c r="CQ43" s="7">
        <f t="shared" si="72"/>
        <v>1.0140612866692149</v>
      </c>
      <c r="CR43" s="7">
        <f t="shared" si="73"/>
        <v>9.9398202117826386</v>
      </c>
      <c r="CS43" s="7">
        <f t="shared" si="74"/>
        <v>10.85602144497914</v>
      </c>
      <c r="CT43" s="7">
        <f t="shared" si="75"/>
        <v>-609.91052723418716</v>
      </c>
      <c r="CU43" s="7">
        <f t="shared" si="76"/>
        <v>609.91052723418716</v>
      </c>
      <c r="CW43" s="7">
        <f t="shared" si="77"/>
        <v>1.0440986999242676</v>
      </c>
      <c r="CX43" s="7">
        <f t="shared" si="78"/>
        <v>1.1403383195620072</v>
      </c>
      <c r="CY43" s="7">
        <f t="shared" si="79"/>
        <v>25.429570882063871</v>
      </c>
      <c r="CZ43" s="7">
        <f t="shared" si="80"/>
        <v>25.429570882063871</v>
      </c>
      <c r="DB43" s="7">
        <f t="shared" si="81"/>
        <v>1.0478083746753311</v>
      </c>
      <c r="DC43" s="7">
        <f t="shared" si="82"/>
        <v>1.1443899329507186</v>
      </c>
      <c r="DD43" s="7">
        <f t="shared" si="83"/>
        <v>25.164622713758668</v>
      </c>
      <c r="DE43" s="7">
        <f t="shared" si="84"/>
        <v>25.164622713758668</v>
      </c>
      <c r="DG43" s="7">
        <f t="shared" si="85"/>
        <v>8337212.4388658525</v>
      </c>
      <c r="DH43" s="7">
        <f t="shared" si="86"/>
        <v>0.125</v>
      </c>
      <c r="DI43" s="7">
        <f t="shared" si="87"/>
        <v>1042151.5548582316</v>
      </c>
      <c r="DJ43" s="7">
        <f t="shared" si="88"/>
        <v>1.0421515548582316</v>
      </c>
      <c r="DK43" s="7">
        <f t="shared" si="89"/>
        <v>31.850322559052685</v>
      </c>
      <c r="DL43" s="7">
        <f t="shared" si="90"/>
        <v>31.850322559052685</v>
      </c>
    </row>
    <row r="44" spans="1:116" x14ac:dyDescent="0.3">
      <c r="A44" s="7">
        <v>43</v>
      </c>
      <c r="B44" s="8" t="s">
        <v>42</v>
      </c>
      <c r="C44" s="9">
        <v>90</v>
      </c>
      <c r="D44" s="7">
        <v>230</v>
      </c>
      <c r="E44" s="10">
        <v>200</v>
      </c>
      <c r="F44" s="9">
        <v>10</v>
      </c>
      <c r="G44" s="21">
        <f t="shared" si="25"/>
        <v>1.5915494309189535</v>
      </c>
      <c r="H44" s="7">
        <v>0.2</v>
      </c>
      <c r="I44" s="7">
        <v>156.009503457536</v>
      </c>
      <c r="J44" s="7">
        <v>15.84501261208</v>
      </c>
      <c r="K44" s="7">
        <f t="shared" si="0"/>
        <v>0.10156440640420877</v>
      </c>
      <c r="L44" s="7">
        <f t="shared" si="26"/>
        <v>3.9999999999999998E-6</v>
      </c>
      <c r="M44" s="7">
        <f t="shared" si="1"/>
        <v>2.0312881280841752E-6</v>
      </c>
      <c r="N44" s="7">
        <f t="shared" si="2"/>
        <v>2471.9725498889961</v>
      </c>
      <c r="O44" s="7">
        <f t="shared" si="3"/>
        <v>1.5400000000000002E-5</v>
      </c>
      <c r="P44" s="7">
        <f t="shared" si="4"/>
        <v>9.9999999999999995E-8</v>
      </c>
      <c r="Q44" s="7">
        <v>0.02</v>
      </c>
      <c r="R44" s="7">
        <f t="shared" si="5"/>
        <v>1.2987012987012987E-4</v>
      </c>
      <c r="S44" s="7">
        <f t="shared" si="6"/>
        <v>3.1609045674112908</v>
      </c>
      <c r="T44" s="9">
        <f t="shared" si="7"/>
        <v>2468.8116453215848</v>
      </c>
      <c r="U44" s="11">
        <f t="shared" si="27"/>
        <v>1.2344058226607924</v>
      </c>
      <c r="V44" s="16">
        <v>96.780020017940004</v>
      </c>
      <c r="W44" s="16">
        <v>96.782107803830002</v>
      </c>
      <c r="X44" s="7">
        <f t="shared" si="8"/>
        <v>96.781063910884995</v>
      </c>
      <c r="Y44" s="7">
        <v>99.4</v>
      </c>
      <c r="Z44" s="9">
        <f t="shared" si="9"/>
        <v>2.6189360891150102</v>
      </c>
      <c r="AA44" s="9">
        <f t="shared" si="10"/>
        <v>5.6943787217823005E-2</v>
      </c>
      <c r="AB44" s="9">
        <f t="shared" si="11"/>
        <v>962.83822269794121</v>
      </c>
      <c r="AC44" s="12">
        <v>0.99839999999999995</v>
      </c>
      <c r="AD44" s="12">
        <f t="shared" si="12"/>
        <v>2258180.3232856165</v>
      </c>
      <c r="AE44" s="12">
        <f t="shared" si="13"/>
        <v>0.59000762111999994</v>
      </c>
      <c r="AF44" s="12">
        <v>9.81</v>
      </c>
      <c r="AG44" s="7">
        <f t="shared" si="14"/>
        <v>1234405.8226607924</v>
      </c>
      <c r="AH44" s="7">
        <f t="shared" si="15"/>
        <v>1.2344058226607924</v>
      </c>
      <c r="AI44" s="7">
        <f t="shared" si="16"/>
        <v>2.6457513110645908E-2</v>
      </c>
      <c r="AJ44" s="7">
        <f t="shared" si="17"/>
        <v>1.4143549766589715E-2</v>
      </c>
      <c r="AK44" s="7">
        <f t="shared" si="18"/>
        <v>3.0000666659259424E-2</v>
      </c>
      <c r="AL44" s="7">
        <f t="shared" si="28"/>
        <v>1.6047275694590302</v>
      </c>
      <c r="AM44" s="7">
        <f t="shared" si="29"/>
        <v>0.86408407586255465</v>
      </c>
      <c r="AN44" s="7">
        <f t="shared" si="30"/>
        <v>1.2344058226607924</v>
      </c>
      <c r="AO44" s="9">
        <f t="shared" si="19"/>
        <v>4311.2982404734994</v>
      </c>
      <c r="AP44" s="9">
        <f t="shared" si="20"/>
        <v>0.67815259728671884</v>
      </c>
      <c r="AQ44" s="9">
        <f t="shared" si="21"/>
        <v>20</v>
      </c>
      <c r="AR44" s="9">
        <f t="shared" si="22"/>
        <v>2.2188757122398525E-4</v>
      </c>
      <c r="AS44" s="12">
        <f t="shared" si="23"/>
        <v>1.2798654923651744E-5</v>
      </c>
      <c r="AT44" s="9">
        <f t="shared" si="24"/>
        <v>0.70890230121571052</v>
      </c>
      <c r="AU44" s="9">
        <f t="shared" si="31"/>
        <v>5.0000500121645929E-3</v>
      </c>
      <c r="AV44" s="9">
        <f t="shared" si="32"/>
        <v>4.0715041974718247</v>
      </c>
      <c r="AY44" s="7">
        <f t="shared" si="33"/>
        <v>1094105.8561390077</v>
      </c>
      <c r="AZ44" s="7">
        <f t="shared" si="34"/>
        <v>1.0941058561390078</v>
      </c>
      <c r="BA44" s="7">
        <f t="shared" si="35"/>
        <v>11.365789430526544</v>
      </c>
      <c r="BB44" s="7">
        <f t="shared" si="36"/>
        <v>11.365789430526544</v>
      </c>
      <c r="BD44" s="7">
        <f t="shared" si="37"/>
        <v>29231835.851042189</v>
      </c>
      <c r="BE44" s="7">
        <f t="shared" si="38"/>
        <v>0.21060292673573613</v>
      </c>
      <c r="BF44" s="7">
        <f t="shared" si="39"/>
        <v>6.1768367785638233E-2</v>
      </c>
      <c r="BG44" s="7">
        <f t="shared" si="40"/>
        <v>1.0100251005244532</v>
      </c>
      <c r="BH44" s="7">
        <f t="shared" si="41"/>
        <v>0.98973665961010282</v>
      </c>
      <c r="BI44" s="7">
        <f t="shared" si="42"/>
        <v>1053376.2904021577</v>
      </c>
      <c r="BJ44" s="7">
        <f t="shared" si="43"/>
        <v>1433511.801840537</v>
      </c>
      <c r="BK44" s="7">
        <f t="shared" si="44"/>
        <v>1.4335118018405371</v>
      </c>
      <c r="BL44" s="7">
        <f t="shared" si="45"/>
        <v>-16.129701879610941</v>
      </c>
      <c r="BM44" s="7">
        <f t="shared" si="46"/>
        <v>16.129701879610941</v>
      </c>
      <c r="BO44" s="7">
        <f t="shared" si="47"/>
        <v>1352867.2450340255</v>
      </c>
      <c r="BP44" s="7">
        <f t="shared" si="48"/>
        <v>1.3528672450340256</v>
      </c>
      <c r="BQ44" s="7">
        <f t="shared" si="49"/>
        <v>-9.5966350934643732</v>
      </c>
      <c r="BR44" s="7">
        <f t="shared" si="50"/>
        <v>9.5966350934643732</v>
      </c>
      <c r="BT44" s="7">
        <f t="shared" si="51"/>
        <v>1336312.496047643</v>
      </c>
      <c r="BU44" s="7">
        <f t="shared" si="52"/>
        <v>1.3363124960476429</v>
      </c>
      <c r="BV44" s="7">
        <f t="shared" si="53"/>
        <v>-8.255524359662223</v>
      </c>
      <c r="BW44" s="7">
        <f t="shared" si="54"/>
        <v>8.255524359662223</v>
      </c>
      <c r="BY44" s="7">
        <f t="shared" si="55"/>
        <v>0.256420054012437</v>
      </c>
      <c r="BZ44" s="7">
        <f t="shared" si="56"/>
        <v>1631.9081114074497</v>
      </c>
      <c r="CA44" s="7">
        <f t="shared" si="57"/>
        <v>0.30798549040038847</v>
      </c>
      <c r="CB44" s="7">
        <f t="shared" si="58"/>
        <v>0.91156973220280491</v>
      </c>
      <c r="CC44" s="7">
        <f t="shared" si="59"/>
        <v>2.7046366100460051</v>
      </c>
      <c r="CD44" s="7">
        <f t="shared" si="60"/>
        <v>8351953.1002977686</v>
      </c>
      <c r="CE44" s="7">
        <f t="shared" si="61"/>
        <v>6341866.8923053918</v>
      </c>
      <c r="CF44" s="7">
        <f t="shared" si="62"/>
        <v>6.3418668923053918</v>
      </c>
      <c r="CG44" s="7">
        <f t="shared" si="63"/>
        <v>-413.75866638698608</v>
      </c>
      <c r="CH44" s="7">
        <f t="shared" si="64"/>
        <v>413.75866638698608</v>
      </c>
      <c r="CJ44" s="7">
        <f t="shared" si="65"/>
        <v>1.5438134602341049</v>
      </c>
      <c r="CK44" s="7">
        <f t="shared" si="66"/>
        <v>7.9441638524897912E-2</v>
      </c>
      <c r="CL44" s="7">
        <f t="shared" si="67"/>
        <v>0.29838599999999998</v>
      </c>
      <c r="CM44" s="7">
        <f t="shared" si="68"/>
        <v>407.15041974718247</v>
      </c>
      <c r="CN44" s="7">
        <f t="shared" si="69"/>
        <v>122.48798514668279</v>
      </c>
      <c r="CO44" s="7">
        <f t="shared" si="70"/>
        <v>0.4901976487698898</v>
      </c>
      <c r="CP44" s="7">
        <f t="shared" si="71"/>
        <v>3.8513889394883656E-2</v>
      </c>
      <c r="CQ44" s="7">
        <f t="shared" si="72"/>
        <v>1.0385138893948838</v>
      </c>
      <c r="CR44" s="7">
        <f t="shared" si="73"/>
        <v>10.105411272681071</v>
      </c>
      <c r="CS44" s="7">
        <f t="shared" si="74"/>
        <v>11.056389652133504</v>
      </c>
      <c r="CT44" s="7">
        <f t="shared" si="75"/>
        <v>-795.68515063394489</v>
      </c>
      <c r="CU44" s="7">
        <f t="shared" si="76"/>
        <v>795.68515063394489</v>
      </c>
      <c r="CW44" s="7">
        <f t="shared" si="77"/>
        <v>1.1207936948820973</v>
      </c>
      <c r="CX44" s="7">
        <f t="shared" si="78"/>
        <v>1.226266945094179</v>
      </c>
      <c r="CY44" s="7">
        <f t="shared" si="79"/>
        <v>0.65933564288199842</v>
      </c>
      <c r="CZ44" s="7">
        <f t="shared" si="80"/>
        <v>0.65933564288199842</v>
      </c>
      <c r="DB44" s="7">
        <f t="shared" si="81"/>
        <v>1.1309472239426046</v>
      </c>
      <c r="DC44" s="7">
        <f t="shared" si="82"/>
        <v>1.2373759806997575</v>
      </c>
      <c r="DD44" s="7">
        <f t="shared" si="83"/>
        <v>-0.24061438989026443</v>
      </c>
      <c r="DE44" s="7">
        <f t="shared" si="84"/>
        <v>0.24061438989026443</v>
      </c>
      <c r="DG44" s="7">
        <f t="shared" si="85"/>
        <v>8351953.1002977686</v>
      </c>
      <c r="DH44" s="7">
        <f t="shared" si="86"/>
        <v>0.125</v>
      </c>
      <c r="DI44" s="7">
        <f t="shared" si="87"/>
        <v>1043994.1375372211</v>
      </c>
      <c r="DJ44" s="7">
        <f t="shared" si="88"/>
        <v>1.043994137537221</v>
      </c>
      <c r="DK44" s="7">
        <f t="shared" si="89"/>
        <v>15.425371594013889</v>
      </c>
      <c r="DL44" s="7">
        <f t="shared" si="90"/>
        <v>15.425371594013889</v>
      </c>
    </row>
    <row r="45" spans="1:116" x14ac:dyDescent="0.3">
      <c r="A45" s="7">
        <v>44</v>
      </c>
      <c r="B45" s="8" t="s">
        <v>42</v>
      </c>
      <c r="C45" s="9">
        <v>90</v>
      </c>
      <c r="D45" s="7">
        <v>230</v>
      </c>
      <c r="E45" s="10">
        <v>100</v>
      </c>
      <c r="F45" s="9">
        <v>20</v>
      </c>
      <c r="G45" s="21">
        <f t="shared" si="25"/>
        <v>3.183098861837907</v>
      </c>
      <c r="H45" s="7">
        <v>0.2</v>
      </c>
      <c r="I45" s="7">
        <v>261.06054353017299</v>
      </c>
      <c r="J45" s="7">
        <v>11.557967813279999</v>
      </c>
      <c r="K45" s="7">
        <f t="shared" si="0"/>
        <v>4.4273131653631705E-2</v>
      </c>
      <c r="L45" s="7">
        <f t="shared" si="26"/>
        <v>7.9999999999999996E-6</v>
      </c>
      <c r="M45" s="7">
        <f t="shared" si="1"/>
        <v>3.5418505322905362E-6</v>
      </c>
      <c r="N45" s="7">
        <f t="shared" si="2"/>
        <v>3017.3293594391216</v>
      </c>
      <c r="O45" s="7">
        <f t="shared" si="3"/>
        <v>1.5400000000000002E-5</v>
      </c>
      <c r="P45" s="7">
        <f t="shared" si="4"/>
        <v>9.9999999999999995E-8</v>
      </c>
      <c r="Q45" s="7">
        <v>0.02</v>
      </c>
      <c r="R45" s="7">
        <f t="shared" si="5"/>
        <v>1.2987012987012987E-4</v>
      </c>
      <c r="S45" s="7">
        <f t="shared" si="6"/>
        <v>8.8509879725025122</v>
      </c>
      <c r="T45" s="9">
        <f t="shared" si="7"/>
        <v>3008.4783714666191</v>
      </c>
      <c r="U45" s="11">
        <f t="shared" si="27"/>
        <v>1.5042391857333095</v>
      </c>
      <c r="V45" s="16">
        <v>99.188525557890003</v>
      </c>
      <c r="W45" s="16">
        <v>99.171478037509999</v>
      </c>
      <c r="X45" s="7">
        <f t="shared" si="8"/>
        <v>99.180001797700001</v>
      </c>
      <c r="Y45" s="7">
        <v>99.4</v>
      </c>
      <c r="Z45" s="9">
        <f t="shared" si="9"/>
        <v>0.21999820230000466</v>
      </c>
      <c r="AA45" s="9">
        <f t="shared" si="10"/>
        <v>5.6463999640460005E-2</v>
      </c>
      <c r="AB45" s="9">
        <f t="shared" si="11"/>
        <v>961.16116553032043</v>
      </c>
      <c r="AC45" s="12">
        <v>0.99839999999999995</v>
      </c>
      <c r="AD45" s="12">
        <f t="shared" si="12"/>
        <v>2258180.3232856165</v>
      </c>
      <c r="AE45" s="12">
        <f t="shared" si="13"/>
        <v>0.59000762111999994</v>
      </c>
      <c r="AF45" s="12">
        <v>9.81</v>
      </c>
      <c r="AG45" s="7">
        <f t="shared" si="14"/>
        <v>1504239.1857333095</v>
      </c>
      <c r="AH45" s="7">
        <f t="shared" si="15"/>
        <v>1.5042391857333095</v>
      </c>
      <c r="AI45" s="7">
        <f t="shared" si="16"/>
        <v>2.6457513110645908E-2</v>
      </c>
      <c r="AJ45" s="7">
        <f t="shared" si="17"/>
        <v>1.4143549766589715E-2</v>
      </c>
      <c r="AK45" s="7">
        <f t="shared" si="18"/>
        <v>3.0000666659259424E-2</v>
      </c>
      <c r="AL45" s="7">
        <f t="shared" si="28"/>
        <v>1.9555109414533025</v>
      </c>
      <c r="AM45" s="7">
        <f t="shared" si="29"/>
        <v>1.0529674300133165</v>
      </c>
      <c r="AN45" s="7">
        <f t="shared" si="30"/>
        <v>1.5042391857333095</v>
      </c>
      <c r="AO45" s="9">
        <f t="shared" si="19"/>
        <v>4322.9582418216814</v>
      </c>
      <c r="AP45" s="9">
        <f t="shared" si="20"/>
        <v>0.67872927638902225</v>
      </c>
      <c r="AQ45" s="9">
        <f t="shared" si="21"/>
        <v>5</v>
      </c>
      <c r="AR45" s="9">
        <f t="shared" si="22"/>
        <v>2.1657751240891469E-4</v>
      </c>
      <c r="AS45" s="12">
        <f t="shared" si="23"/>
        <v>1.2798654923651744E-5</v>
      </c>
      <c r="AT45" s="9">
        <f t="shared" si="24"/>
        <v>0.72494019608116278</v>
      </c>
      <c r="AU45" s="9">
        <f t="shared" si="31"/>
        <v>4.2115460488780019E-4</v>
      </c>
      <c r="AV45" s="9">
        <f t="shared" si="32"/>
        <v>8.1704024930972352</v>
      </c>
      <c r="AY45" s="7">
        <f t="shared" si="33"/>
        <v>1091317.8838978284</v>
      </c>
      <c r="AZ45" s="7">
        <f t="shared" si="34"/>
        <v>1.0913178838978284</v>
      </c>
      <c r="BA45" s="7">
        <f t="shared" si="35"/>
        <v>27.450508253724557</v>
      </c>
      <c r="BB45" s="7">
        <f t="shared" si="36"/>
        <v>27.450508253724557</v>
      </c>
      <c r="BD45" s="7">
        <f t="shared" si="37"/>
        <v>29157348.043071751</v>
      </c>
      <c r="BE45" s="7">
        <f t="shared" si="38"/>
        <v>0.43304756182248977</v>
      </c>
      <c r="BF45" s="7">
        <f t="shared" si="39"/>
        <v>2.6778105477535404E-2</v>
      </c>
      <c r="BG45" s="7">
        <f t="shared" si="40"/>
        <v>1.0008424865809769</v>
      </c>
      <c r="BH45" s="7">
        <f t="shared" si="41"/>
        <v>0.98973665961010282</v>
      </c>
      <c r="BI45" s="7">
        <f t="shared" si="42"/>
        <v>1004389.6141454313</v>
      </c>
      <c r="BJ45" s="7">
        <f t="shared" si="43"/>
        <v>1339315.6093555926</v>
      </c>
      <c r="BK45" s="7">
        <f t="shared" si="44"/>
        <v>1.3393156093555927</v>
      </c>
      <c r="BL45" s="7">
        <f t="shared" si="45"/>
        <v>10.963919697206755</v>
      </c>
      <c r="BM45" s="7">
        <f t="shared" si="46"/>
        <v>10.963919697206755</v>
      </c>
      <c r="BO45" s="7">
        <f t="shared" si="47"/>
        <v>1351452.0422820495</v>
      </c>
      <c r="BP45" s="7">
        <f t="shared" si="48"/>
        <v>1.3514520422820495</v>
      </c>
      <c r="BQ45" s="7">
        <f t="shared" si="49"/>
        <v>10.157104328908767</v>
      </c>
      <c r="BR45" s="7">
        <f t="shared" si="50"/>
        <v>10.157104328908767</v>
      </c>
      <c r="BT45" s="7">
        <f t="shared" si="51"/>
        <v>1332907.3391118515</v>
      </c>
      <c r="BU45" s="7">
        <f t="shared" si="52"/>
        <v>1.3329073391118516</v>
      </c>
      <c r="BV45" s="7">
        <f t="shared" si="53"/>
        <v>11.389933745007079</v>
      </c>
      <c r="BW45" s="7">
        <f t="shared" si="54"/>
        <v>11.389933745007079</v>
      </c>
      <c r="BY45" s="7">
        <f t="shared" si="55"/>
        <v>0.25633066599240784</v>
      </c>
      <c r="BZ45" s="7">
        <f t="shared" si="56"/>
        <v>1629.0656783479626</v>
      </c>
      <c r="CA45" s="7">
        <f t="shared" si="57"/>
        <v>0.3079183836830981</v>
      </c>
      <c r="CB45" s="7">
        <f t="shared" si="58"/>
        <v>0.91160397534597204</v>
      </c>
      <c r="CC45" s="7">
        <f t="shared" si="59"/>
        <v>2.704047414031125</v>
      </c>
      <c r="CD45" s="7">
        <f t="shared" si="60"/>
        <v>8330670.8694490716</v>
      </c>
      <c r="CE45" s="7">
        <f t="shared" si="61"/>
        <v>6323188.1959456941</v>
      </c>
      <c r="CF45" s="7">
        <f t="shared" si="62"/>
        <v>6.3231881959456944</v>
      </c>
      <c r="CG45" s="7">
        <f t="shared" si="63"/>
        <v>-320.35789626522524</v>
      </c>
      <c r="CH45" s="7">
        <f t="shared" si="64"/>
        <v>320.35789626522524</v>
      </c>
      <c r="CJ45" s="7">
        <f t="shared" si="65"/>
        <v>1.5438134602341049</v>
      </c>
      <c r="CK45" s="7">
        <f t="shared" si="66"/>
        <v>7.9441638524897912E-2</v>
      </c>
      <c r="CL45" s="7">
        <f t="shared" si="67"/>
        <v>0.29989300000000002</v>
      </c>
      <c r="CM45" s="7">
        <f t="shared" si="68"/>
        <v>408.52012465486177</v>
      </c>
      <c r="CN45" s="7">
        <f t="shared" si="69"/>
        <v>123.51232574312047</v>
      </c>
      <c r="CO45" s="7">
        <f t="shared" si="70"/>
        <v>0.49088116318054303</v>
      </c>
      <c r="CP45" s="7">
        <f t="shared" si="71"/>
        <v>3.2397892032796408E-3</v>
      </c>
      <c r="CQ45" s="7">
        <f t="shared" si="72"/>
        <v>1.0032397892032796</v>
      </c>
      <c r="CR45" s="7">
        <f t="shared" si="73"/>
        <v>9.8438104164860363</v>
      </c>
      <c r="CS45" s="7">
        <f t="shared" si="74"/>
        <v>10.742726353210941</v>
      </c>
      <c r="CT45" s="7">
        <f t="shared" si="75"/>
        <v>-614.16344256275386</v>
      </c>
      <c r="CU45" s="7">
        <f t="shared" si="76"/>
        <v>614.16344256275386</v>
      </c>
      <c r="CW45" s="7">
        <f t="shared" si="77"/>
        <v>1.0101602825469669</v>
      </c>
      <c r="CX45" s="7">
        <f t="shared" si="78"/>
        <v>1.1024059819467882</v>
      </c>
      <c r="CY45" s="7">
        <f t="shared" si="79"/>
        <v>26.713384918943561</v>
      </c>
      <c r="CZ45" s="7">
        <f t="shared" si="80"/>
        <v>26.713384918943561</v>
      </c>
      <c r="DB45" s="7">
        <f t="shared" si="81"/>
        <v>1.0110152832911508</v>
      </c>
      <c r="DC45" s="7">
        <f t="shared" si="82"/>
        <v>1.1033390595496622</v>
      </c>
      <c r="DD45" s="7">
        <f t="shared" si="83"/>
        <v>26.651355049510322</v>
      </c>
      <c r="DE45" s="7">
        <f t="shared" si="84"/>
        <v>26.651355049510322</v>
      </c>
      <c r="DG45" s="7">
        <f t="shared" si="85"/>
        <v>8330670.8694490716</v>
      </c>
      <c r="DH45" s="7">
        <f t="shared" si="86"/>
        <v>0.125</v>
      </c>
      <c r="DI45" s="7">
        <f t="shared" si="87"/>
        <v>1041333.8586811339</v>
      </c>
      <c r="DJ45" s="7">
        <f t="shared" si="88"/>
        <v>1.041333858681134</v>
      </c>
      <c r="DK45" s="7">
        <f t="shared" si="89"/>
        <v>30.77338573828678</v>
      </c>
      <c r="DL45" s="7">
        <f t="shared" si="90"/>
        <v>30.77338573828678</v>
      </c>
    </row>
    <row r="46" spans="1:116" x14ac:dyDescent="0.3">
      <c r="A46" s="7">
        <v>45</v>
      </c>
      <c r="B46" s="8" t="s">
        <v>41</v>
      </c>
      <c r="C46" s="9">
        <v>180</v>
      </c>
      <c r="D46" s="7">
        <v>230</v>
      </c>
      <c r="E46" s="10">
        <v>200</v>
      </c>
      <c r="F46" s="9">
        <v>20</v>
      </c>
      <c r="G46" s="21">
        <f t="shared" si="25"/>
        <v>3.183098861837907</v>
      </c>
      <c r="H46" s="7">
        <v>0.2</v>
      </c>
      <c r="I46" s="7">
        <v>255.56591846105275</v>
      </c>
      <c r="J46" s="7">
        <v>13.91727208318</v>
      </c>
      <c r="K46" s="7">
        <f t="shared" si="0"/>
        <v>5.4456682514577699E-2</v>
      </c>
      <c r="L46" s="7">
        <f t="shared" si="26"/>
        <v>7.9999999999999996E-6</v>
      </c>
      <c r="M46" s="7">
        <f t="shared" si="1"/>
        <v>2.1782673005831076E-6</v>
      </c>
      <c r="N46" s="7">
        <f t="shared" si="2"/>
        <v>3556.7804224102656</v>
      </c>
      <c r="O46" s="7">
        <f t="shared" si="3"/>
        <v>1.5400000000000002E-5</v>
      </c>
      <c r="P46" s="7">
        <f t="shared" si="4"/>
        <v>9.9999999999999995E-8</v>
      </c>
      <c r="Q46" s="7">
        <v>0.02</v>
      </c>
      <c r="R46" s="7">
        <f t="shared" si="5"/>
        <v>1.2987012987012987E-4</v>
      </c>
      <c r="S46" s="7">
        <f t="shared" si="6"/>
        <v>8.4823296985508385</v>
      </c>
      <c r="T46" s="9">
        <f t="shared" si="7"/>
        <v>3548.2980927117146</v>
      </c>
      <c r="U46" s="11">
        <f t="shared" si="27"/>
        <v>0.88707452317792868</v>
      </c>
      <c r="V46" s="7">
        <v>96.240070130380005</v>
      </c>
      <c r="W46" s="7">
        <v>96.705478396390006</v>
      </c>
      <c r="X46" s="7">
        <f t="shared" si="8"/>
        <v>96.472774263385006</v>
      </c>
      <c r="Y46" s="7">
        <v>99.4</v>
      </c>
      <c r="Z46" s="9">
        <f t="shared" si="9"/>
        <v>2.9272257366150001</v>
      </c>
      <c r="AA46" s="9">
        <f t="shared" si="10"/>
        <v>5.7005445147323003E-2</v>
      </c>
      <c r="AB46" s="9">
        <f t="shared" si="11"/>
        <v>963.05123897968951</v>
      </c>
      <c r="AC46" s="12">
        <v>0.99839999999999995</v>
      </c>
      <c r="AD46" s="12">
        <f t="shared" si="12"/>
        <v>2258180.3232856165</v>
      </c>
      <c r="AE46" s="12">
        <f t="shared" si="13"/>
        <v>0.59000762111999994</v>
      </c>
      <c r="AF46" s="12">
        <v>9.81</v>
      </c>
      <c r="AG46" s="7">
        <f t="shared" si="14"/>
        <v>887074.52317792864</v>
      </c>
      <c r="AH46" s="7">
        <f t="shared" si="15"/>
        <v>0.88707452317792868</v>
      </c>
      <c r="AI46" s="7">
        <f t="shared" si="16"/>
        <v>2.6457513110645908E-2</v>
      </c>
      <c r="AJ46" s="7">
        <f t="shared" si="17"/>
        <v>1.4143549766589715E-2</v>
      </c>
      <c r="AK46" s="7">
        <f t="shared" si="18"/>
        <v>3.0000666659259424E-2</v>
      </c>
      <c r="AL46" s="7">
        <f t="shared" si="28"/>
        <v>1.1531968801313073</v>
      </c>
      <c r="AM46" s="7">
        <f t="shared" si="29"/>
        <v>0.62095216622455007</v>
      </c>
      <c r="AN46" s="7">
        <f t="shared" si="30"/>
        <v>0.88707452317792868</v>
      </c>
      <c r="AO46" s="9">
        <f t="shared" si="19"/>
        <v>4309.848552703661</v>
      </c>
      <c r="AP46" s="9">
        <f t="shared" si="20"/>
        <v>0.6780701416387066</v>
      </c>
      <c r="AQ46" s="9">
        <f t="shared" si="21"/>
        <v>10</v>
      </c>
      <c r="AR46" s="9">
        <f t="shared" si="22"/>
        <v>2.2264508653847088E-4</v>
      </c>
      <c r="AS46" s="12">
        <f t="shared" si="23"/>
        <v>1.2798654923651744E-5</v>
      </c>
      <c r="AT46" s="9">
        <f t="shared" si="24"/>
        <v>0.70664208073014922</v>
      </c>
      <c r="AU46" s="9">
        <f t="shared" si="31"/>
        <v>5.5867547309203071E-3</v>
      </c>
      <c r="AV46" s="9">
        <f t="shared" si="32"/>
        <v>8.1395041903810625</v>
      </c>
      <c r="AY46" s="7">
        <f t="shared" si="33"/>
        <v>1094462.4694283085</v>
      </c>
      <c r="AZ46" s="7">
        <f t="shared" si="34"/>
        <v>1.0944624694283085</v>
      </c>
      <c r="BA46" s="7">
        <f t="shared" si="35"/>
        <v>-23.378863988497404</v>
      </c>
      <c r="BB46" s="7">
        <f t="shared" si="36"/>
        <v>23.378863988497404</v>
      </c>
      <c r="BD46" s="7">
        <f t="shared" si="37"/>
        <v>29241363.687015876</v>
      </c>
      <c r="BE46" s="7">
        <f t="shared" si="38"/>
        <v>0.30199517204020154</v>
      </c>
      <c r="BF46" s="7">
        <f t="shared" si="39"/>
        <v>2.6900134302923227E-2</v>
      </c>
      <c r="BG46" s="7">
        <f t="shared" si="40"/>
        <v>1.011204721290264</v>
      </c>
      <c r="BH46" s="7">
        <f t="shared" si="41"/>
        <v>0.8</v>
      </c>
      <c r="BI46" s="7">
        <f t="shared" si="42"/>
        <v>1059823.3562622874</v>
      </c>
      <c r="BJ46" s="7">
        <f t="shared" si="43"/>
        <v>1251991.3899058073</v>
      </c>
      <c r="BK46" s="7">
        <f t="shared" si="44"/>
        <v>1.2519913899058073</v>
      </c>
      <c r="BL46" s="7">
        <f t="shared" si="45"/>
        <v>-41.137114999151414</v>
      </c>
      <c r="BM46" s="7">
        <f t="shared" si="46"/>
        <v>41.137114999151414</v>
      </c>
      <c r="BO46" s="7">
        <f t="shared" si="47"/>
        <v>1353046.9304755777</v>
      </c>
      <c r="BP46" s="7">
        <f t="shared" si="48"/>
        <v>1.3530469304755777</v>
      </c>
      <c r="BQ46" s="7">
        <f t="shared" si="49"/>
        <v>-52.529116226707892</v>
      </c>
      <c r="BR46" s="7">
        <f t="shared" si="50"/>
        <v>52.529116226707892</v>
      </c>
      <c r="BT46" s="7">
        <f t="shared" si="51"/>
        <v>1336748.0542635829</v>
      </c>
      <c r="BU46" s="7">
        <f t="shared" si="52"/>
        <v>1.336748054263583</v>
      </c>
      <c r="BV46" s="7">
        <f t="shared" si="53"/>
        <v>-50.691742276027377</v>
      </c>
      <c r="BW46" s="7">
        <f t="shared" si="54"/>
        <v>50.691742276027377</v>
      </c>
      <c r="BY46" s="7">
        <f t="shared" si="55"/>
        <v>0.25643139897404632</v>
      </c>
      <c r="BZ46" s="7">
        <f t="shared" si="56"/>
        <v>1632.2691512891786</v>
      </c>
      <c r="CA46" s="7">
        <f t="shared" si="57"/>
        <v>0.30799400683300782</v>
      </c>
      <c r="CB46" s="7">
        <f t="shared" si="58"/>
        <v>0.91156538592424097</v>
      </c>
      <c r="CC46" s="7">
        <f t="shared" si="59"/>
        <v>2.7047113842147708</v>
      </c>
      <c r="CD46" s="7">
        <f t="shared" si="60"/>
        <v>8354675.3391473927</v>
      </c>
      <c r="CE46" s="7">
        <f t="shared" si="61"/>
        <v>6344254.5301854145</v>
      </c>
      <c r="CF46" s="7">
        <f t="shared" si="62"/>
        <v>6.3442545301854141</v>
      </c>
      <c r="CG46" s="7">
        <f t="shared" si="63"/>
        <v>-615.18844972091358</v>
      </c>
      <c r="CH46" s="7">
        <f t="shared" si="64"/>
        <v>615.18844972091358</v>
      </c>
      <c r="CJ46" s="7">
        <f t="shared" si="65"/>
        <v>1.5438134602341049</v>
      </c>
      <c r="CK46" s="7">
        <f t="shared" si="66"/>
        <v>7.9441638524897912E-2</v>
      </c>
      <c r="CL46" s="7">
        <f t="shared" si="67"/>
        <v>0.29838599999999998</v>
      </c>
      <c r="CM46" s="7">
        <f t="shared" si="68"/>
        <v>406.97520951905312</v>
      </c>
      <c r="CN46" s="7">
        <f t="shared" si="69"/>
        <v>122.43570486755218</v>
      </c>
      <c r="CO46" s="7">
        <f t="shared" si="70"/>
        <v>0.49011412636454388</v>
      </c>
      <c r="CP46" s="7">
        <f t="shared" si="71"/>
        <v>4.3040240537186074E-2</v>
      </c>
      <c r="CQ46" s="7">
        <f t="shared" si="72"/>
        <v>1.0430402405371861</v>
      </c>
      <c r="CR46" s="7">
        <f t="shared" si="73"/>
        <v>10.145123607303823</v>
      </c>
      <c r="CS46" s="7">
        <f t="shared" si="74"/>
        <v>11.103457035905171</v>
      </c>
      <c r="CT46" s="7">
        <f t="shared" si="75"/>
        <v>-1151.6938256920325</v>
      </c>
      <c r="CU46" s="7">
        <f t="shared" si="76"/>
        <v>1151.6938256920325</v>
      </c>
      <c r="CW46" s="7">
        <f t="shared" si="77"/>
        <v>1.134991486692593</v>
      </c>
      <c r="CX46" s="7">
        <f t="shared" si="78"/>
        <v>1.2422055853056824</v>
      </c>
      <c r="CY46" s="7">
        <f t="shared" si="79"/>
        <v>-40.033960264747883</v>
      </c>
      <c r="CZ46" s="7">
        <f t="shared" si="80"/>
        <v>40.033960264747883</v>
      </c>
      <c r="DB46" s="7">
        <f t="shared" si="81"/>
        <v>1.1463368178264326</v>
      </c>
      <c r="DC46" s="7">
        <f t="shared" si="82"/>
        <v>1.2546226244349064</v>
      </c>
      <c r="DD46" s="7">
        <f t="shared" si="83"/>
        <v>-41.433734331614339</v>
      </c>
      <c r="DE46" s="7">
        <f t="shared" si="84"/>
        <v>41.433734331614339</v>
      </c>
      <c r="DG46" s="7">
        <f t="shared" si="85"/>
        <v>8354675.3391473927</v>
      </c>
      <c r="DH46" s="7">
        <f t="shared" si="86"/>
        <v>3.952847075210475E-2</v>
      </c>
      <c r="DI46" s="7">
        <f t="shared" si="87"/>
        <v>330247.53978681855</v>
      </c>
      <c r="DJ46" s="7">
        <f t="shared" si="88"/>
        <v>0.33024753978681853</v>
      </c>
      <c r="DK46" s="7">
        <f t="shared" si="89"/>
        <v>62.771161705364662</v>
      </c>
      <c r="DL46" s="7">
        <f t="shared" si="90"/>
        <v>62.771161705364662</v>
      </c>
    </row>
    <row r="47" spans="1:116" x14ac:dyDescent="0.3">
      <c r="A47" s="7">
        <v>46</v>
      </c>
      <c r="B47" s="8" t="s">
        <v>41</v>
      </c>
      <c r="C47" s="9">
        <v>180</v>
      </c>
      <c r="D47" s="7">
        <v>230</v>
      </c>
      <c r="E47" s="10">
        <v>200</v>
      </c>
      <c r="F47" s="9">
        <v>10</v>
      </c>
      <c r="G47" s="21">
        <f t="shared" si="25"/>
        <v>1.5915494309189535</v>
      </c>
      <c r="H47" s="7">
        <v>0.2</v>
      </c>
      <c r="I47" s="7">
        <v>125.690068908163</v>
      </c>
      <c r="J47" s="7">
        <v>15.76171715417</v>
      </c>
      <c r="K47" s="7">
        <f t="shared" si="0"/>
        <v>0.12540145208836265</v>
      </c>
      <c r="L47" s="7">
        <f t="shared" si="26"/>
        <v>3.9999999999999998E-6</v>
      </c>
      <c r="M47" s="7">
        <f t="shared" si="1"/>
        <v>2.5080290417672524E-6</v>
      </c>
      <c r="N47" s="7">
        <f t="shared" si="2"/>
        <v>1981.0913152186022</v>
      </c>
      <c r="O47" s="7">
        <f t="shared" si="3"/>
        <v>1.5400000000000002E-5</v>
      </c>
      <c r="P47" s="7">
        <f t="shared" si="4"/>
        <v>9.9999999999999995E-8</v>
      </c>
      <c r="Q47" s="7">
        <v>0.02</v>
      </c>
      <c r="R47" s="7">
        <f t="shared" si="5"/>
        <v>1.2987012987012987E-4</v>
      </c>
      <c r="S47" s="7">
        <f t="shared" si="6"/>
        <v>2.0516874574206185</v>
      </c>
      <c r="T47" s="9">
        <f t="shared" si="7"/>
        <v>1979.0396277611815</v>
      </c>
      <c r="U47" s="11">
        <f t="shared" si="27"/>
        <v>0.98951981388059074</v>
      </c>
      <c r="V47" s="16">
        <v>96.384657829470001</v>
      </c>
      <c r="W47" s="16">
        <v>96.391460295320002</v>
      </c>
      <c r="X47" s="7">
        <f t="shared" si="8"/>
        <v>96.388059062395001</v>
      </c>
      <c r="Y47" s="7">
        <v>99.4</v>
      </c>
      <c r="Z47" s="9">
        <f t="shared" si="9"/>
        <v>3.0119409376050044</v>
      </c>
      <c r="AA47" s="9">
        <f t="shared" si="10"/>
        <v>5.7022388187521006E-2</v>
      </c>
      <c r="AB47" s="9">
        <f t="shared" si="11"/>
        <v>963.1096740428145</v>
      </c>
      <c r="AC47" s="12">
        <v>0.99839999999999995</v>
      </c>
      <c r="AD47" s="12">
        <f t="shared" si="12"/>
        <v>2258180.3232856165</v>
      </c>
      <c r="AE47" s="12">
        <f t="shared" si="13"/>
        <v>0.59000762111999994</v>
      </c>
      <c r="AF47" s="12">
        <v>9.81</v>
      </c>
      <c r="AG47" s="7">
        <f t="shared" si="14"/>
        <v>989519.81388059072</v>
      </c>
      <c r="AH47" s="7">
        <f t="shared" si="15"/>
        <v>0.98951981388059074</v>
      </c>
      <c r="AI47" s="7">
        <f t="shared" si="16"/>
        <v>2.6457513110645908E-2</v>
      </c>
      <c r="AJ47" s="7">
        <f t="shared" si="17"/>
        <v>1.4143549766589715E-2</v>
      </c>
      <c r="AK47" s="7">
        <f t="shared" si="18"/>
        <v>3.0000666659259424E-2</v>
      </c>
      <c r="AL47" s="7">
        <f t="shared" si="28"/>
        <v>1.2863757580447679</v>
      </c>
      <c r="AM47" s="7">
        <f t="shared" si="29"/>
        <v>0.69266386971641347</v>
      </c>
      <c r="AN47" s="7">
        <f t="shared" si="30"/>
        <v>0.98951981388059074</v>
      </c>
      <c r="AO47" s="9">
        <f t="shared" si="19"/>
        <v>4309.4521157901399</v>
      </c>
      <c r="AP47" s="9">
        <f t="shared" si="20"/>
        <v>0.67804715063911147</v>
      </c>
      <c r="AQ47" s="9">
        <f t="shared" si="21"/>
        <v>20</v>
      </c>
      <c r="AR47" s="9">
        <f t="shared" si="22"/>
        <v>2.2285624129487602E-4</v>
      </c>
      <c r="AS47" s="12">
        <f t="shared" si="23"/>
        <v>1.2798654923651744E-5</v>
      </c>
      <c r="AT47" s="9">
        <f t="shared" si="24"/>
        <v>0.70601354706220742</v>
      </c>
      <c r="AU47" s="9">
        <f t="shared" si="31"/>
        <v>5.7479091073255831E-3</v>
      </c>
      <c r="AV47" s="9">
        <f t="shared" si="32"/>
        <v>4.0692709539755798</v>
      </c>
      <c r="AY47" s="7">
        <f t="shared" si="33"/>
        <v>1094560.3970413904</v>
      </c>
      <c r="AZ47" s="7">
        <f t="shared" si="34"/>
        <v>1.0945603970413904</v>
      </c>
      <c r="BA47" s="7">
        <f t="shared" si="35"/>
        <v>-10.615308727256606</v>
      </c>
      <c r="BB47" s="7">
        <f t="shared" si="36"/>
        <v>10.615308727256606</v>
      </c>
      <c r="BD47" s="7">
        <f t="shared" si="37"/>
        <v>29243980.073624931</v>
      </c>
      <c r="BE47" s="7">
        <f t="shared" si="38"/>
        <v>0.21060292673573613</v>
      </c>
      <c r="BF47" s="7">
        <f t="shared" si="39"/>
        <v>6.1809048696749774E-2</v>
      </c>
      <c r="BG47" s="7">
        <f t="shared" si="40"/>
        <v>1.0115288566737572</v>
      </c>
      <c r="BH47" s="7">
        <f t="shared" si="41"/>
        <v>0.8</v>
      </c>
      <c r="BI47" s="7">
        <f t="shared" si="42"/>
        <v>1061601.1154028194</v>
      </c>
      <c r="BJ47" s="7">
        <f t="shared" si="43"/>
        <v>1369651.1094343315</v>
      </c>
      <c r="BK47" s="7">
        <f t="shared" si="44"/>
        <v>1.3696511094343315</v>
      </c>
      <c r="BL47" s="7">
        <f t="shared" si="45"/>
        <v>-38.41573359334599</v>
      </c>
      <c r="BM47" s="7">
        <f t="shared" si="46"/>
        <v>38.41573359334599</v>
      </c>
      <c r="BO47" s="7">
        <f t="shared" si="47"/>
        <v>1353096.2193737691</v>
      </c>
      <c r="BP47" s="7">
        <f t="shared" si="48"/>
        <v>1.3530962193737692</v>
      </c>
      <c r="BQ47" s="7">
        <f t="shared" si="49"/>
        <v>-36.742710999120298</v>
      </c>
      <c r="BR47" s="7">
        <f t="shared" si="50"/>
        <v>36.742710999120298</v>
      </c>
      <c r="BT47" s="7">
        <f t="shared" si="51"/>
        <v>1336867.6605085684</v>
      </c>
      <c r="BU47" s="7">
        <f t="shared" si="52"/>
        <v>1.3368676605085683</v>
      </c>
      <c r="BV47" s="7">
        <f t="shared" si="53"/>
        <v>-35.102667147794314</v>
      </c>
      <c r="BW47" s="7">
        <f t="shared" si="54"/>
        <v>35.102667147794314</v>
      </c>
      <c r="BY47" s="7">
        <f t="shared" si="55"/>
        <v>0.25643451079628493</v>
      </c>
      <c r="BZ47" s="7">
        <f t="shared" si="56"/>
        <v>1632.3681924897212</v>
      </c>
      <c r="CA47" s="7">
        <f t="shared" si="57"/>
        <v>0.30799634279016569</v>
      </c>
      <c r="CB47" s="7">
        <f t="shared" si="58"/>
        <v>0.91156419377065367</v>
      </c>
      <c r="CC47" s="7">
        <f t="shared" si="59"/>
        <v>2.7047318938890417</v>
      </c>
      <c r="CD47" s="7">
        <f t="shared" si="60"/>
        <v>8355422.8781785527</v>
      </c>
      <c r="CE47" s="7">
        <f t="shared" si="61"/>
        <v>6344910.1224167058</v>
      </c>
      <c r="CF47" s="7">
        <f t="shared" si="62"/>
        <v>6.3449101224167057</v>
      </c>
      <c r="CG47" s="7">
        <f t="shared" si="63"/>
        <v>-541.21102310563447</v>
      </c>
      <c r="CH47" s="7">
        <f t="shared" si="64"/>
        <v>541.21102310563447</v>
      </c>
      <c r="CJ47" s="7">
        <f t="shared" si="65"/>
        <v>1.5438134602341049</v>
      </c>
      <c r="CK47" s="7">
        <f t="shared" si="66"/>
        <v>7.9441638524897912E-2</v>
      </c>
      <c r="CL47" s="7">
        <f t="shared" si="67"/>
        <v>0.29838599999999998</v>
      </c>
      <c r="CM47" s="7">
        <f t="shared" si="68"/>
        <v>406.92709539755799</v>
      </c>
      <c r="CN47" s="7">
        <f t="shared" si="69"/>
        <v>122.42134828729573</v>
      </c>
      <c r="CO47" s="7">
        <f t="shared" si="70"/>
        <v>0.49009134550056471</v>
      </c>
      <c r="CP47" s="7">
        <f t="shared" si="71"/>
        <v>4.4283785600372071E-2</v>
      </c>
      <c r="CQ47" s="7">
        <f t="shared" si="72"/>
        <v>1.0442837856003722</v>
      </c>
      <c r="CR47" s="7">
        <f t="shared" si="73"/>
        <v>10.156027923295838</v>
      </c>
      <c r="CS47" s="7">
        <f t="shared" si="74"/>
        <v>11.116385956086139</v>
      </c>
      <c r="CT47" s="7">
        <f t="shared" si="75"/>
        <v>-1023.4121641780077</v>
      </c>
      <c r="CU47" s="7">
        <f t="shared" si="76"/>
        <v>1023.4121641780077</v>
      </c>
      <c r="CW47" s="7">
        <f t="shared" si="77"/>
        <v>1.1388921649970545</v>
      </c>
      <c r="CX47" s="7">
        <f t="shared" si="78"/>
        <v>1.2465862603065048</v>
      </c>
      <c r="CY47" s="7">
        <f t="shared" si="79"/>
        <v>-25.978908438202861</v>
      </c>
      <c r="CZ47" s="7">
        <f t="shared" si="80"/>
        <v>25.978908438202861</v>
      </c>
      <c r="DB47" s="7">
        <f t="shared" si="81"/>
        <v>1.150564871041265</v>
      </c>
      <c r="DC47" s="7">
        <f t="shared" si="82"/>
        <v>1.2593627420688032</v>
      </c>
      <c r="DD47" s="7">
        <f t="shared" si="83"/>
        <v>-27.27008842096571</v>
      </c>
      <c r="DE47" s="7">
        <f t="shared" si="84"/>
        <v>27.27008842096571</v>
      </c>
      <c r="DG47" s="7">
        <f t="shared" si="85"/>
        <v>8355422.8781785527</v>
      </c>
      <c r="DH47" s="7">
        <f t="shared" si="86"/>
        <v>3.952847075210475E-2</v>
      </c>
      <c r="DI47" s="7">
        <f t="shared" si="87"/>
        <v>330277.08886154782</v>
      </c>
      <c r="DJ47" s="7">
        <f t="shared" si="88"/>
        <v>0.33027708886154783</v>
      </c>
      <c r="DK47" s="7">
        <f t="shared" si="89"/>
        <v>66.622488581981671</v>
      </c>
      <c r="DL47" s="7">
        <f t="shared" si="90"/>
        <v>66.622488581981671</v>
      </c>
    </row>
    <row r="48" spans="1:116" x14ac:dyDescent="0.3">
      <c r="A48" s="7">
        <v>47</v>
      </c>
      <c r="B48" s="8" t="s">
        <v>48</v>
      </c>
      <c r="C48" s="9">
        <v>0</v>
      </c>
      <c r="D48" s="7">
        <v>230</v>
      </c>
      <c r="E48" s="10">
        <v>200</v>
      </c>
      <c r="F48" s="9">
        <v>10</v>
      </c>
      <c r="G48" s="21">
        <f t="shared" si="25"/>
        <v>1.5915494309189535</v>
      </c>
      <c r="H48" s="7">
        <v>0.2</v>
      </c>
      <c r="I48" s="7">
        <v>124.90882888918701</v>
      </c>
      <c r="J48" s="7">
        <v>17.912535546529998</v>
      </c>
      <c r="K48" s="7">
        <f t="shared" ref="K48:K56" si="91">J48/I48</f>
        <v>0.1434048794294687</v>
      </c>
      <c r="L48" s="7">
        <f t="shared" ref="L48:L56" si="92">2*(F48*H48)/1000000</f>
        <v>3.9999999999999998E-6</v>
      </c>
      <c r="M48" s="7">
        <f t="shared" ref="M48:M56" si="93">K48*L48/(E48/1000)</f>
        <v>2.8680975885893738E-6</v>
      </c>
      <c r="N48" s="7">
        <f t="shared" ref="N48:N56" si="94">I48*J48</f>
        <v>2237.4338375529956</v>
      </c>
      <c r="O48" s="7">
        <f t="shared" ref="O48:O56" si="95">(0.77*10^-3)*0.02</f>
        <v>1.5400000000000002E-5</v>
      </c>
      <c r="P48" s="7">
        <f t="shared" ref="P48:P56" si="96">1*10^-7</f>
        <v>9.9999999999999995E-8</v>
      </c>
      <c r="Q48" s="7">
        <v>0.02</v>
      </c>
      <c r="R48" s="7">
        <f t="shared" ref="R48:R56" si="97">(P48*Q48/O48)</f>
        <v>1.2987012987012987E-4</v>
      </c>
      <c r="S48" s="7">
        <f t="shared" ref="S48:S56" si="98">(I48^2)*R48</f>
        <v>2.0262617577231428</v>
      </c>
      <c r="T48" s="9">
        <f t="shared" ref="T48:T56" si="99">N48-S48</f>
        <v>2235.4075757952724</v>
      </c>
      <c r="U48" s="11">
        <f t="shared" ref="U48:U56" si="100">T48/(E48*F48)</f>
        <v>1.1177037878976361</v>
      </c>
      <c r="V48" s="16">
        <v>98.706953595260003</v>
      </c>
      <c r="W48" s="16">
        <v>98.703171771789997</v>
      </c>
      <c r="X48" s="7">
        <f t="shared" ref="X48:X56" si="101">0.5*(V48+W48)</f>
        <v>98.705062683525</v>
      </c>
      <c r="Y48" s="7">
        <v>99.4</v>
      </c>
      <c r="Z48" s="9">
        <f t="shared" ref="Z48:Z56" si="102">Y48-X48</f>
        <v>0.69493731647500567</v>
      </c>
      <c r="AA48" s="9">
        <f t="shared" ref="AA48:AA56" si="103">(-0.0002*X48)+0.0763</f>
        <v>5.6558987463295005E-2</v>
      </c>
      <c r="AB48" s="9">
        <f t="shared" ref="AB48:AB56" si="104">(-0.003*X48^2)-(0.1112*X48)+1001.7</f>
        <v>961.49592883151627</v>
      </c>
      <c r="AC48" s="12">
        <v>0.99839999999999995</v>
      </c>
      <c r="AD48" s="12">
        <f t="shared" ref="AD48:AD56" si="105">((3988.9*AC48^6)-(15194*AC48^5)+(22808*AC48^4)-(17174*AC48^3)+(6909.8*AC48^2)-(1605.5*AC48)+2524.8)*1000</f>
        <v>2258180.3232856165</v>
      </c>
      <c r="AE48" s="12">
        <f t="shared" ref="AE48:AE56" si="106">(-0.023*AC48^2)+(0.6037*AC48)+0.0102</f>
        <v>0.59000762111999994</v>
      </c>
      <c r="AF48" s="12">
        <v>9.81</v>
      </c>
      <c r="AG48" s="7">
        <f t="shared" ref="AG48:AG56" si="107">U48*10^6</f>
        <v>1117703.7878976362</v>
      </c>
      <c r="AH48" s="7">
        <f t="shared" ref="AH48:AH56" si="108">AG48/10^6</f>
        <v>1.1177037878976361</v>
      </c>
      <c r="AI48" s="7">
        <f t="shared" ref="AI48:AI56" si="109">((0.01)^2+(0.02)^2+(0.01)^2+(0.01)^2)^0.5</f>
        <v>2.6457513110645908E-2</v>
      </c>
      <c r="AJ48" s="7">
        <f t="shared" ref="AJ48:AJ56" si="110">((0.01*0.02)^2+(0.01)^2+(0.01)^2)^0.5</f>
        <v>1.4143549766589715E-2</v>
      </c>
      <c r="AK48" s="7">
        <f t="shared" ref="AK48:AK56" si="111">((AI48^2)+(AJ48^2))^0.5</f>
        <v>3.0000666659259424E-2</v>
      </c>
      <c r="AL48" s="7">
        <f t="shared" si="28"/>
        <v>1.453014924266927</v>
      </c>
      <c r="AM48" s="7">
        <f t="shared" si="29"/>
        <v>0.78239265152834525</v>
      </c>
      <c r="AN48" s="7">
        <f t="shared" si="30"/>
        <v>1.1177037878976361</v>
      </c>
      <c r="AO48" s="9">
        <f t="shared" ref="AO48:AO56" si="112">((-0.00000000002*(X48^5)) +( 0.000000008*(X48^4)) - (0.000001*(X48^3)) +( 0.00008*(X48^2)) -( 0.0029*X48) + 4.2171)*1000</f>
        <v>4320.5959916078764</v>
      </c>
      <c r="AP48" s="9">
        <f t="shared" ref="AP48:AP56" si="113">((-1*10^-5)*(X48^2))+(0.0022*X48)+0.5589</f>
        <v>0.67862424391016896</v>
      </c>
      <c r="AQ48" s="9">
        <f t="shared" si="21"/>
        <v>20</v>
      </c>
      <c r="AR48" s="9">
        <f t="shared" ref="AR48:AR56" si="114">((9*(10^-8)*X48^2)-(1.985*10^-5*X48)+0.0013)</f>
        <v>2.1754655167430248E-4</v>
      </c>
      <c r="AS48" s="12">
        <f t="shared" ref="AS48:AS56" si="115">((8.4*10^-7)*LN(AC48))+(1.28*10^-5)</f>
        <v>1.2798654923651744E-5</v>
      </c>
      <c r="AT48" s="9">
        <f t="shared" ref="AT48:AT56" si="116">(AP48/(AR48*AO48))</f>
        <v>0.72199386742310945</v>
      </c>
      <c r="AU48" s="9">
        <f t="shared" ref="AU48:AU56" si="117">((AO48*(Z48))/AD48)</f>
        <v>1.3296295929157646E-3</v>
      </c>
      <c r="AV48" s="9">
        <f t="shared" si="32"/>
        <v>4.082480560890958</v>
      </c>
      <c r="AY48" s="7">
        <f t="shared" si="33"/>
        <v>1091871.6779132774</v>
      </c>
      <c r="AZ48" s="7">
        <f t="shared" si="34"/>
        <v>1.0918716779132773</v>
      </c>
      <c r="BA48" s="7">
        <f t="shared" si="35"/>
        <v>2.3111767414645836</v>
      </c>
      <c r="BB48" s="7">
        <f t="shared" si="36"/>
        <v>2.3111767414645836</v>
      </c>
      <c r="BD48" s="7">
        <f t="shared" si="37"/>
        <v>29172144.066385273</v>
      </c>
      <c r="BE48" s="7">
        <f t="shared" si="38"/>
        <v>0.21060292673573613</v>
      </c>
      <c r="BF48" s="7">
        <f t="shared" si="39"/>
        <v>6.1569133141909094E-2</v>
      </c>
      <c r="BG48" s="7">
        <f t="shared" si="40"/>
        <v>1.0026610271006857</v>
      </c>
      <c r="BH48" s="7">
        <f t="shared" si="41"/>
        <v>1.0683281572999748</v>
      </c>
      <c r="BI48" s="7">
        <f t="shared" si="42"/>
        <v>1013924.19882708</v>
      </c>
      <c r="BJ48" s="7">
        <f t="shared" si="43"/>
        <v>1419110.3566887849</v>
      </c>
      <c r="BK48" s="7">
        <f t="shared" si="44"/>
        <v>1.4191103566887848</v>
      </c>
      <c r="BL48" s="7">
        <f t="shared" si="45"/>
        <v>-26.966587395940071</v>
      </c>
      <c r="BM48" s="7">
        <f t="shared" si="46"/>
        <v>26.966587395940071</v>
      </c>
      <c r="BO48" s="7">
        <f t="shared" si="47"/>
        <v>1351734.6148002748</v>
      </c>
      <c r="BP48" s="7">
        <f t="shared" si="48"/>
        <v>1.3517346148002749</v>
      </c>
      <c r="BQ48" s="7">
        <f t="shared" si="49"/>
        <v>-20.938537512057913</v>
      </c>
      <c r="BR48" s="7">
        <f t="shared" si="50"/>
        <v>20.938537512057913</v>
      </c>
      <c r="BT48" s="7">
        <f t="shared" si="51"/>
        <v>1333583.7287490412</v>
      </c>
      <c r="BU48" s="7">
        <f t="shared" si="52"/>
        <v>1.3335837287490413</v>
      </c>
      <c r="BV48" s="7">
        <f t="shared" si="53"/>
        <v>-19.314593292867709</v>
      </c>
      <c r="BW48" s="7">
        <f t="shared" si="54"/>
        <v>19.314593292867709</v>
      </c>
      <c r="BY48" s="7">
        <f t="shared" si="55"/>
        <v>0.25634851901243877</v>
      </c>
      <c r="BZ48" s="7">
        <f t="shared" si="56"/>
        <v>1629.6330664446798</v>
      </c>
      <c r="CA48" s="7">
        <f t="shared" si="57"/>
        <v>0.30793178727173892</v>
      </c>
      <c r="CB48" s="7">
        <f t="shared" si="58"/>
        <v>0.91159713636122652</v>
      </c>
      <c r="CC48" s="7">
        <f t="shared" si="59"/>
        <v>2.7041650973329987</v>
      </c>
      <c r="CD48" s="7">
        <f t="shared" si="60"/>
        <v>8334898.3046815069</v>
      </c>
      <c r="CE48" s="7">
        <f t="shared" si="61"/>
        <v>6326900.1898736944</v>
      </c>
      <c r="CF48" s="7">
        <f t="shared" si="62"/>
        <v>6.3269001898736947</v>
      </c>
      <c r="CG48" s="7">
        <f t="shared" si="63"/>
        <v>-466.06233765874441</v>
      </c>
      <c r="CH48" s="7">
        <f t="shared" si="64"/>
        <v>466.06233765874441</v>
      </c>
      <c r="CJ48" s="7">
        <f t="shared" si="65"/>
        <v>1.5438134602341049</v>
      </c>
      <c r="CK48" s="7">
        <f t="shared" si="66"/>
        <v>7.9441638524897912E-2</v>
      </c>
      <c r="CL48" s="7">
        <f t="shared" si="67"/>
        <v>0.29838599999999998</v>
      </c>
      <c r="CM48" s="7">
        <f t="shared" si="68"/>
        <v>408.24805608909583</v>
      </c>
      <c r="CN48" s="7">
        <f t="shared" si="69"/>
        <v>122.81550446420094</v>
      </c>
      <c r="CO48" s="7">
        <f t="shared" si="70"/>
        <v>0.49074107589781862</v>
      </c>
      <c r="CP48" s="7">
        <f t="shared" si="71"/>
        <v>1.0231028591054615E-2</v>
      </c>
      <c r="CQ48" s="7">
        <f t="shared" si="72"/>
        <v>1.0102310285910545</v>
      </c>
      <c r="CR48" s="7">
        <f t="shared" si="73"/>
        <v>9.8564856285547737</v>
      </c>
      <c r="CS48" s="7">
        <f t="shared" si="74"/>
        <v>10.762017501578205</v>
      </c>
      <c r="CT48" s="7">
        <f t="shared" si="75"/>
        <v>-862.86848251818174</v>
      </c>
      <c r="CU48" s="7">
        <f t="shared" si="76"/>
        <v>862.86848251818174</v>
      </c>
      <c r="CW48" s="7">
        <f t="shared" si="77"/>
        <v>1.0320860230872089</v>
      </c>
      <c r="CX48" s="7">
        <f t="shared" si="78"/>
        <v>1.1269054977790722</v>
      </c>
      <c r="CY48" s="7">
        <f t="shared" si="79"/>
        <v>-0.82326909697105033</v>
      </c>
      <c r="CZ48" s="7">
        <f t="shared" si="80"/>
        <v>0.82326909697105033</v>
      </c>
      <c r="DB48" s="7">
        <f t="shared" si="81"/>
        <v>1.0347854972095858</v>
      </c>
      <c r="DC48" s="7">
        <f t="shared" si="82"/>
        <v>1.1298529771185555</v>
      </c>
      <c r="DD48" s="7">
        <f t="shared" si="83"/>
        <v>-1.0869775474029275</v>
      </c>
      <c r="DE48" s="7">
        <f t="shared" si="84"/>
        <v>1.0869775474029275</v>
      </c>
      <c r="DG48" s="7">
        <f t="shared" si="85"/>
        <v>8334898.3046815069</v>
      </c>
      <c r="DH48" s="7">
        <f t="shared" si="86"/>
        <v>0.17230060940112779</v>
      </c>
      <c r="DI48" s="7">
        <f t="shared" si="87"/>
        <v>1436108.0571930506</v>
      </c>
      <c r="DJ48" s="7">
        <f t="shared" si="88"/>
        <v>1.4361080571930507</v>
      </c>
      <c r="DK48" s="7">
        <f t="shared" si="89"/>
        <v>-28.487357092555126</v>
      </c>
      <c r="DL48" s="7">
        <f t="shared" si="90"/>
        <v>28.487357092555126</v>
      </c>
    </row>
    <row r="49" spans="1:116" x14ac:dyDescent="0.3">
      <c r="A49" s="7">
        <v>48</v>
      </c>
      <c r="B49" s="8" t="s">
        <v>42</v>
      </c>
      <c r="C49" s="9">
        <v>90</v>
      </c>
      <c r="D49" s="7">
        <v>230</v>
      </c>
      <c r="E49" s="10">
        <v>200</v>
      </c>
      <c r="F49" s="9">
        <v>20</v>
      </c>
      <c r="G49" s="21">
        <f t="shared" si="25"/>
        <v>3.183098861837907</v>
      </c>
      <c r="H49" s="7">
        <v>0.2</v>
      </c>
      <c r="I49" s="7">
        <v>217.64447214238001</v>
      </c>
      <c r="J49" s="7">
        <v>21.95648871721</v>
      </c>
      <c r="K49" s="7">
        <f t="shared" si="91"/>
        <v>0.10088236333816174</v>
      </c>
      <c r="L49" s="7">
        <f t="shared" si="92"/>
        <v>7.9999999999999996E-6</v>
      </c>
      <c r="M49" s="7">
        <f t="shared" si="93"/>
        <v>4.0352945335264688E-6</v>
      </c>
      <c r="N49" s="7">
        <f t="shared" si="94"/>
        <v>4778.7083969572932</v>
      </c>
      <c r="O49" s="7">
        <f t="shared" si="95"/>
        <v>1.5400000000000002E-5</v>
      </c>
      <c r="P49" s="7">
        <f t="shared" si="96"/>
        <v>9.9999999999999995E-8</v>
      </c>
      <c r="Q49" s="7">
        <v>0.02</v>
      </c>
      <c r="R49" s="7">
        <f t="shared" si="97"/>
        <v>1.2987012987012987E-4</v>
      </c>
      <c r="S49" s="7">
        <f t="shared" si="98"/>
        <v>6.1518332797578221</v>
      </c>
      <c r="T49" s="9">
        <f t="shared" si="99"/>
        <v>4772.5565636775355</v>
      </c>
      <c r="U49" s="11">
        <f t="shared" si="100"/>
        <v>1.1931391409193839</v>
      </c>
      <c r="V49" s="16">
        <v>99.336462370860005</v>
      </c>
      <c r="W49" s="16">
        <v>99.34413561225</v>
      </c>
      <c r="X49" s="7">
        <f t="shared" si="101"/>
        <v>99.340298991555002</v>
      </c>
      <c r="Y49" s="7">
        <v>99.4</v>
      </c>
      <c r="Z49" s="9">
        <f t="shared" si="102"/>
        <v>5.9701008445003367E-2</v>
      </c>
      <c r="AA49" s="9">
        <f t="shared" si="103"/>
        <v>5.6431940201689006E-2</v>
      </c>
      <c r="AB49" s="9">
        <f t="shared" si="104"/>
        <v>961.04787374094451</v>
      </c>
      <c r="AC49" s="12">
        <v>0.99839999999999995</v>
      </c>
      <c r="AD49" s="12">
        <f t="shared" si="105"/>
        <v>2258180.3232856165</v>
      </c>
      <c r="AE49" s="12">
        <f t="shared" si="106"/>
        <v>0.59000762111999994</v>
      </c>
      <c r="AF49" s="12">
        <v>9.81</v>
      </c>
      <c r="AG49" s="7">
        <f t="shared" si="107"/>
        <v>1193139.1409193838</v>
      </c>
      <c r="AH49" s="7">
        <f t="shared" si="108"/>
        <v>1.1931391409193839</v>
      </c>
      <c r="AI49" s="7">
        <f t="shared" si="109"/>
        <v>2.6457513110645908E-2</v>
      </c>
      <c r="AJ49" s="7">
        <f t="shared" si="110"/>
        <v>1.4143549766589715E-2</v>
      </c>
      <c r="AK49" s="7">
        <f t="shared" si="111"/>
        <v>3.0000666659259424E-2</v>
      </c>
      <c r="AL49" s="7">
        <f t="shared" si="28"/>
        <v>1.5510808831951992</v>
      </c>
      <c r="AM49" s="7">
        <f t="shared" si="29"/>
        <v>0.83519739864356868</v>
      </c>
      <c r="AN49" s="7">
        <f t="shared" si="30"/>
        <v>1.1931391409193839</v>
      </c>
      <c r="AO49" s="9">
        <f t="shared" si="112"/>
        <v>4323.7615793847644</v>
      </c>
      <c r="AP49" s="9">
        <f t="shared" si="113"/>
        <v>0.67876370774410555</v>
      </c>
      <c r="AQ49" s="9">
        <f t="shared" si="21"/>
        <v>10</v>
      </c>
      <c r="AR49" s="9">
        <f t="shared" si="114"/>
        <v>2.1625961535347207E-4</v>
      </c>
      <c r="AS49" s="12">
        <f t="shared" si="115"/>
        <v>1.2798654923651744E-5</v>
      </c>
      <c r="AT49" s="9">
        <f t="shared" si="116"/>
        <v>0.72590777665708539</v>
      </c>
      <c r="AU49" s="9">
        <f t="shared" si="117"/>
        <v>1.1431014782267326E-4</v>
      </c>
      <c r="AV49" s="9">
        <f t="shared" si="32"/>
        <v>8.1722410309204552</v>
      </c>
      <c r="AY49" s="7">
        <f t="shared" si="33"/>
        <v>1091130.7673553904</v>
      </c>
      <c r="AZ49" s="7">
        <f t="shared" si="34"/>
        <v>1.0911307673553903</v>
      </c>
      <c r="BA49" s="7">
        <f t="shared" si="35"/>
        <v>8.5495790109936518</v>
      </c>
      <c r="BB49" s="7">
        <f t="shared" si="36"/>
        <v>8.5495790109936518</v>
      </c>
      <c r="BD49" s="7">
        <f t="shared" si="37"/>
        <v>29152348.746136386</v>
      </c>
      <c r="BE49" s="7">
        <f t="shared" si="38"/>
        <v>0.30199517204020154</v>
      </c>
      <c r="BF49" s="7">
        <f t="shared" si="39"/>
        <v>2.6770876402636642E-2</v>
      </c>
      <c r="BG49" s="7">
        <f t="shared" si="40"/>
        <v>1.0002286333624553</v>
      </c>
      <c r="BH49" s="7">
        <f t="shared" si="41"/>
        <v>0.98973665961010282</v>
      </c>
      <c r="BI49" s="7">
        <f t="shared" si="42"/>
        <v>1001189.5324705474</v>
      </c>
      <c r="BJ49" s="7">
        <f t="shared" si="43"/>
        <v>1234511.2041262402</v>
      </c>
      <c r="BK49" s="7">
        <f t="shared" si="44"/>
        <v>1.2345112041262403</v>
      </c>
      <c r="BL49" s="7">
        <f t="shared" si="45"/>
        <v>-3.4674969404638567</v>
      </c>
      <c r="BM49" s="7">
        <f t="shared" si="46"/>
        <v>3.4674969404638567</v>
      </c>
      <c r="BO49" s="7">
        <f t="shared" si="47"/>
        <v>1351356.404162593</v>
      </c>
      <c r="BP49" s="7">
        <f t="shared" si="48"/>
        <v>1.351356404162593</v>
      </c>
      <c r="BQ49" s="7">
        <f t="shared" si="49"/>
        <v>-13.260587790397468</v>
      </c>
      <c r="BR49" s="7">
        <f t="shared" si="50"/>
        <v>13.260587790397468</v>
      </c>
      <c r="BT49" s="7">
        <f t="shared" si="51"/>
        <v>1332678.7998233775</v>
      </c>
      <c r="BU49" s="7">
        <f t="shared" si="52"/>
        <v>1.3326787998233776</v>
      </c>
      <c r="BV49" s="7">
        <f t="shared" si="53"/>
        <v>-11.69517067359555</v>
      </c>
      <c r="BW49" s="7">
        <f t="shared" si="54"/>
        <v>11.69517067359555</v>
      </c>
      <c r="BY49" s="7">
        <f t="shared" si="55"/>
        <v>0.25632462298315128</v>
      </c>
      <c r="BZ49" s="7">
        <f t="shared" si="56"/>
        <v>1628.8736608462889</v>
      </c>
      <c r="CA49" s="7">
        <f t="shared" si="57"/>
        <v>0.30791384666774319</v>
      </c>
      <c r="CB49" s="7">
        <f t="shared" si="58"/>
        <v>0.91160629022555872</v>
      </c>
      <c r="CC49" s="7">
        <f t="shared" si="59"/>
        <v>2.7040075791077633</v>
      </c>
      <c r="CD49" s="7">
        <f t="shared" si="60"/>
        <v>8329242.4988961089</v>
      </c>
      <c r="CE49" s="7">
        <f t="shared" si="61"/>
        <v>6321933.7942469707</v>
      </c>
      <c r="CF49" s="7">
        <f t="shared" si="62"/>
        <v>6.3219337942469709</v>
      </c>
      <c r="CG49" s="7">
        <f t="shared" si="63"/>
        <v>-429.85721257753295</v>
      </c>
      <c r="CH49" s="7">
        <f t="shared" si="64"/>
        <v>429.85721257753295</v>
      </c>
      <c r="CJ49" s="7">
        <f t="shared" si="65"/>
        <v>1.5438134602341049</v>
      </c>
      <c r="CK49" s="7">
        <f t="shared" si="66"/>
        <v>7.9441638524897912E-2</v>
      </c>
      <c r="CL49" s="7">
        <f t="shared" si="67"/>
        <v>0.29838599999999998</v>
      </c>
      <c r="CM49" s="7">
        <f t="shared" si="68"/>
        <v>408.61205154602283</v>
      </c>
      <c r="CN49" s="7">
        <f t="shared" si="69"/>
        <v>122.92411561261156</v>
      </c>
      <c r="CO49" s="7">
        <f t="shared" si="70"/>
        <v>0.49092898016117331</v>
      </c>
      <c r="CP49" s="7">
        <f t="shared" si="71"/>
        <v>8.7926865571497299E-4</v>
      </c>
      <c r="CQ49" s="7">
        <f t="shared" si="72"/>
        <v>1.0008792686557151</v>
      </c>
      <c r="CR49" s="7">
        <f t="shared" si="73"/>
        <v>9.773879474677976</v>
      </c>
      <c r="CS49" s="7">
        <f t="shared" si="74"/>
        <v>10.664580611244478</v>
      </c>
      <c r="CT49" s="7">
        <f t="shared" si="75"/>
        <v>-793.82539265510911</v>
      </c>
      <c r="CU49" s="7">
        <f t="shared" si="76"/>
        <v>793.82539265510911</v>
      </c>
      <c r="CW49" s="7">
        <f t="shared" si="77"/>
        <v>1.002757452649887</v>
      </c>
      <c r="CX49" s="7">
        <f t="shared" si="78"/>
        <v>1.0941395087812076</v>
      </c>
      <c r="CY49" s="7">
        <f t="shared" si="79"/>
        <v>8.2974088053042401</v>
      </c>
      <c r="CZ49" s="7">
        <f t="shared" si="80"/>
        <v>8.2974088053042401</v>
      </c>
      <c r="DB49" s="7">
        <f t="shared" si="81"/>
        <v>1.0029895134294309</v>
      </c>
      <c r="DC49" s="7">
        <f t="shared" si="82"/>
        <v>1.0943927174376644</v>
      </c>
      <c r="DD49" s="7">
        <f t="shared" si="83"/>
        <v>8.2761867493199102</v>
      </c>
      <c r="DE49" s="7">
        <f t="shared" si="84"/>
        <v>8.2761867493199102</v>
      </c>
      <c r="DG49" s="7">
        <f t="shared" si="85"/>
        <v>8329242.4988961089</v>
      </c>
      <c r="DH49" s="7">
        <f t="shared" si="86"/>
        <v>0.125</v>
      </c>
      <c r="DI49" s="7">
        <f t="shared" si="87"/>
        <v>1041155.3123620136</v>
      </c>
      <c r="DJ49" s="7">
        <f t="shared" si="88"/>
        <v>1.0411553123620136</v>
      </c>
      <c r="DK49" s="7">
        <f t="shared" si="89"/>
        <v>12.738147911253483</v>
      </c>
      <c r="DL49" s="7">
        <f t="shared" si="90"/>
        <v>12.738147911253483</v>
      </c>
    </row>
    <row r="50" spans="1:116" x14ac:dyDescent="0.3">
      <c r="A50" s="7">
        <v>49</v>
      </c>
      <c r="B50" s="8" t="s">
        <v>42</v>
      </c>
      <c r="C50" s="9">
        <v>90</v>
      </c>
      <c r="D50" s="7">
        <v>100</v>
      </c>
      <c r="E50" s="10">
        <v>100</v>
      </c>
      <c r="F50" s="9">
        <v>20</v>
      </c>
      <c r="G50" s="21">
        <f t="shared" si="25"/>
        <v>3.183098861837907</v>
      </c>
      <c r="H50" s="7">
        <v>0.2</v>
      </c>
      <c r="I50" s="7">
        <v>595.13956775499071</v>
      </c>
      <c r="J50" s="7">
        <v>15.35223035908</v>
      </c>
      <c r="K50" s="7">
        <f t="shared" si="91"/>
        <v>2.5796016919177964E-2</v>
      </c>
      <c r="L50" s="7">
        <f t="shared" si="92"/>
        <v>7.9999999999999996E-6</v>
      </c>
      <c r="M50" s="7">
        <f t="shared" si="93"/>
        <v>2.0636813535342371E-6</v>
      </c>
      <c r="N50" s="7">
        <f t="shared" si="94"/>
        <v>9136.7197399779161</v>
      </c>
      <c r="O50" s="7">
        <f t="shared" si="95"/>
        <v>1.5400000000000002E-5</v>
      </c>
      <c r="P50" s="7">
        <f t="shared" si="96"/>
        <v>9.9999999999999995E-8</v>
      </c>
      <c r="Q50" s="7">
        <v>0.02</v>
      </c>
      <c r="R50" s="7">
        <f t="shared" si="97"/>
        <v>1.2987012987012987E-4</v>
      </c>
      <c r="S50" s="7">
        <f t="shared" si="98"/>
        <v>45.998844819168468</v>
      </c>
      <c r="T50" s="9">
        <f t="shared" si="99"/>
        <v>9090.7208951587472</v>
      </c>
      <c r="U50" s="11">
        <f t="shared" si="100"/>
        <v>4.5453604475793732</v>
      </c>
      <c r="V50" s="7">
        <v>31.982209532030001</v>
      </c>
      <c r="W50" s="7">
        <v>31.865601057149998</v>
      </c>
      <c r="X50" s="7">
        <f t="shared" si="101"/>
        <v>31.92390529459</v>
      </c>
      <c r="Y50" s="7">
        <v>99.4</v>
      </c>
      <c r="Z50" s="9">
        <f t="shared" si="102"/>
        <v>67.476094705410006</v>
      </c>
      <c r="AA50" s="9">
        <f t="shared" si="103"/>
        <v>6.9915218941082005E-2</v>
      </c>
      <c r="AB50" s="9">
        <f t="shared" si="104"/>
        <v>995.0926545434678</v>
      </c>
      <c r="AC50" s="12">
        <v>0.99839999999999995</v>
      </c>
      <c r="AD50" s="12">
        <f t="shared" si="105"/>
        <v>2258180.3232856165</v>
      </c>
      <c r="AE50" s="12">
        <f t="shared" si="106"/>
        <v>0.59000762111999994</v>
      </c>
      <c r="AF50" s="12">
        <v>9.81</v>
      </c>
      <c r="AG50" s="7">
        <f t="shared" si="107"/>
        <v>4545360.4475793736</v>
      </c>
      <c r="AH50" s="7">
        <f t="shared" si="108"/>
        <v>4.5453604475793732</v>
      </c>
      <c r="AI50" s="7">
        <f t="shared" si="109"/>
        <v>2.6457513110645908E-2</v>
      </c>
      <c r="AJ50" s="7">
        <f t="shared" si="110"/>
        <v>1.4143549766589715E-2</v>
      </c>
      <c r="AK50" s="7">
        <f t="shared" si="111"/>
        <v>3.0000666659259424E-2</v>
      </c>
      <c r="AL50" s="7">
        <f t="shared" si="28"/>
        <v>5.908968581853185</v>
      </c>
      <c r="AM50" s="7">
        <f t="shared" si="29"/>
        <v>3.181752313305561</v>
      </c>
      <c r="AN50" s="7">
        <f t="shared" si="30"/>
        <v>4.5453604475793732</v>
      </c>
      <c r="AO50" s="9">
        <f t="shared" si="112"/>
        <v>4181.1626941706836</v>
      </c>
      <c r="AP50" s="9">
        <f t="shared" si="113"/>
        <v>0.6189412343555184</v>
      </c>
      <c r="AQ50" s="9">
        <f t="shared" si="21"/>
        <v>5</v>
      </c>
      <c r="AR50" s="9">
        <f t="shared" si="114"/>
        <v>7.58032695535604E-4</v>
      </c>
      <c r="AS50" s="12">
        <f t="shared" si="115"/>
        <v>1.2798654923651744E-5</v>
      </c>
      <c r="AT50" s="9">
        <f t="shared" si="116"/>
        <v>0.19528298812553424</v>
      </c>
      <c r="AU50" s="9">
        <f t="shared" si="117"/>
        <v>0.12493622720088882</v>
      </c>
      <c r="AV50" s="9">
        <f t="shared" si="32"/>
        <v>7.4710494340782825</v>
      </c>
      <c r="AY50" s="7">
        <f t="shared" si="33"/>
        <v>1161235.7387284639</v>
      </c>
      <c r="AZ50" s="7">
        <f t="shared" si="34"/>
        <v>1.161235738728464</v>
      </c>
      <c r="BA50" s="7">
        <f t="shared" si="35"/>
        <v>74.452284871117797</v>
      </c>
      <c r="BB50" s="7">
        <f t="shared" si="36"/>
        <v>74.452284871117797</v>
      </c>
      <c r="BD50" s="7">
        <f t="shared" si="37"/>
        <v>31025382.332439873</v>
      </c>
      <c r="BE50" s="7">
        <f t="shared" si="38"/>
        <v>0.43304756182248977</v>
      </c>
      <c r="BF50" s="7">
        <f t="shared" si="39"/>
        <v>2.9813575092836407E-2</v>
      </c>
      <c r="BG50" s="7">
        <f t="shared" si="40"/>
        <v>1.2654815152689696</v>
      </c>
      <c r="BH50" s="7">
        <f t="shared" si="41"/>
        <v>0.98973665961010282</v>
      </c>
      <c r="BI50" s="7">
        <f t="shared" si="42"/>
        <v>3666863.8607519832</v>
      </c>
      <c r="BJ50" s="7">
        <f t="shared" si="43"/>
        <v>4168561.7339699762</v>
      </c>
      <c r="BK50" s="7">
        <f t="shared" si="44"/>
        <v>4.1685617339699759</v>
      </c>
      <c r="BL50" s="7">
        <f t="shared" si="45"/>
        <v>8.2897433097975988</v>
      </c>
      <c r="BM50" s="7">
        <f t="shared" si="46"/>
        <v>8.2897433097975988</v>
      </c>
      <c r="BO50" s="7">
        <f t="shared" si="47"/>
        <v>1379896.3932381792</v>
      </c>
      <c r="BP50" s="7">
        <f t="shared" si="48"/>
        <v>1.3798963932381791</v>
      </c>
      <c r="BQ50" s="7">
        <f t="shared" si="49"/>
        <v>69.641650884408037</v>
      </c>
      <c r="BR50" s="7">
        <f t="shared" si="50"/>
        <v>69.641650884408037</v>
      </c>
      <c r="BT50" s="7">
        <f t="shared" si="51"/>
        <v>1418303.1923401086</v>
      </c>
      <c r="BU50" s="7">
        <f t="shared" si="52"/>
        <v>1.4183031923401086</v>
      </c>
      <c r="BV50" s="7">
        <f t="shared" si="53"/>
        <v>68.796683812052251</v>
      </c>
      <c r="BW50" s="7">
        <f t="shared" si="54"/>
        <v>68.796683812052251</v>
      </c>
      <c r="BY50" s="7">
        <f t="shared" si="55"/>
        <v>0.25811546548128228</v>
      </c>
      <c r="BZ50" s="7">
        <f t="shared" si="56"/>
        <v>1686.5759338065886</v>
      </c>
      <c r="CA50" s="7">
        <f t="shared" si="57"/>
        <v>0.30925663890876537</v>
      </c>
      <c r="CB50" s="7">
        <f t="shared" si="58"/>
        <v>0.91091971019923057</v>
      </c>
      <c r="CC50" s="7">
        <f t="shared" si="59"/>
        <v>2.7157973085161995</v>
      </c>
      <c r="CD50" s="7">
        <f t="shared" si="60"/>
        <v>8864394.9521256778</v>
      </c>
      <c r="CE50" s="7">
        <f t="shared" si="61"/>
        <v>6781809.4348834259</v>
      </c>
      <c r="CF50" s="7">
        <f t="shared" si="62"/>
        <v>6.7818094348834261</v>
      </c>
      <c r="CG50" s="7">
        <f t="shared" si="63"/>
        <v>-49.202896296047797</v>
      </c>
      <c r="CH50" s="7">
        <f t="shared" si="64"/>
        <v>49.202896296047797</v>
      </c>
      <c r="CJ50" s="7">
        <f t="shared" si="65"/>
        <v>1.5438134602341049</v>
      </c>
      <c r="CK50" s="7">
        <f t="shared" si="66"/>
        <v>7.9441638524897912E-2</v>
      </c>
      <c r="CL50" s="7">
        <f t="shared" si="67"/>
        <v>0.29989300000000002</v>
      </c>
      <c r="CM50" s="7">
        <f t="shared" si="68"/>
        <v>373.55247170391408</v>
      </c>
      <c r="CN50" s="7">
        <f t="shared" si="69"/>
        <v>113.02577139670191</v>
      </c>
      <c r="CO50" s="7">
        <f t="shared" si="70"/>
        <v>0.48729602887148804</v>
      </c>
      <c r="CP50" s="7">
        <f t="shared" si="71"/>
        <v>0.98642498981108206</v>
      </c>
      <c r="CQ50" s="7">
        <f t="shared" si="72"/>
        <v>1.986424989811082</v>
      </c>
      <c r="CR50" s="7">
        <f t="shared" si="73"/>
        <v>17.836015579251143</v>
      </c>
      <c r="CS50" s="7">
        <f t="shared" si="74"/>
        <v>20.711818727144092</v>
      </c>
      <c r="CT50" s="7">
        <f t="shared" si="75"/>
        <v>-355.66944505301331</v>
      </c>
      <c r="CU50" s="7">
        <f t="shared" si="76"/>
        <v>355.66944505301331</v>
      </c>
      <c r="CW50" s="7">
        <f t="shared" si="77"/>
        <v>4.0988921573964978</v>
      </c>
      <c r="CX50" s="7">
        <f t="shared" si="78"/>
        <v>4.7597800623626298</v>
      </c>
      <c r="CY50" s="7">
        <f t="shared" si="79"/>
        <v>-4.7173291811751827</v>
      </c>
      <c r="CZ50" s="7">
        <f t="shared" si="80"/>
        <v>4.7173291811751827</v>
      </c>
      <c r="DB50" s="7">
        <f t="shared" si="81"/>
        <v>4.3538449653576787</v>
      </c>
      <c r="DC50" s="7">
        <f t="shared" si="82"/>
        <v>5.0558403746563281</v>
      </c>
      <c r="DD50" s="7">
        <f t="shared" si="83"/>
        <v>-11.230790890276047</v>
      </c>
      <c r="DE50" s="7">
        <f t="shared" si="84"/>
        <v>11.230790890276047</v>
      </c>
      <c r="DG50" s="7">
        <f t="shared" si="85"/>
        <v>8864394.9521256778</v>
      </c>
      <c r="DH50" s="7">
        <f t="shared" si="86"/>
        <v>0.125</v>
      </c>
      <c r="DI50" s="7">
        <f t="shared" si="87"/>
        <v>1108049.3690157097</v>
      </c>
      <c r="DJ50" s="7">
        <f t="shared" si="88"/>
        <v>1.1080493690157098</v>
      </c>
      <c r="DK50" s="7">
        <f t="shared" si="89"/>
        <v>75.622409228165822</v>
      </c>
      <c r="DL50" s="7">
        <f t="shared" si="90"/>
        <v>75.622409228165822</v>
      </c>
    </row>
    <row r="51" spans="1:116" x14ac:dyDescent="0.3">
      <c r="A51" s="7">
        <v>50</v>
      </c>
      <c r="B51" s="8" t="s">
        <v>42</v>
      </c>
      <c r="C51" s="9">
        <v>90</v>
      </c>
      <c r="D51" s="7">
        <v>300</v>
      </c>
      <c r="E51" s="10">
        <v>300</v>
      </c>
      <c r="F51" s="9">
        <v>10</v>
      </c>
      <c r="G51" s="21">
        <f t="shared" si="25"/>
        <v>1.5915494309189535</v>
      </c>
      <c r="H51" s="7">
        <v>0.2</v>
      </c>
      <c r="I51" s="7">
        <v>149.372019983455</v>
      </c>
      <c r="J51" s="7">
        <v>21.04221300228</v>
      </c>
      <c r="K51" s="7">
        <f t="shared" si="91"/>
        <v>0.14087118192959239</v>
      </c>
      <c r="L51" s="7">
        <f t="shared" si="92"/>
        <v>3.9999999999999998E-6</v>
      </c>
      <c r="M51" s="7">
        <f t="shared" si="93"/>
        <v>1.8782824257278986E-6</v>
      </c>
      <c r="N51" s="7">
        <f t="shared" si="94"/>
        <v>3143.1178610726852</v>
      </c>
      <c r="O51" s="7">
        <f t="shared" si="95"/>
        <v>1.5400000000000002E-5</v>
      </c>
      <c r="P51" s="7">
        <f t="shared" si="96"/>
        <v>9.9999999999999995E-8</v>
      </c>
      <c r="Q51" s="7">
        <v>0.02</v>
      </c>
      <c r="R51" s="7">
        <f t="shared" si="97"/>
        <v>1.2987012987012987E-4</v>
      </c>
      <c r="S51" s="7">
        <f t="shared" si="98"/>
        <v>2.8976623836282704</v>
      </c>
      <c r="T51" s="9">
        <f t="shared" si="99"/>
        <v>3140.2201986890568</v>
      </c>
      <c r="U51" s="11">
        <f t="shared" si="100"/>
        <v>1.0467400662296855</v>
      </c>
      <c r="V51" s="16">
        <v>95.207454783559996</v>
      </c>
      <c r="W51" s="16">
        <v>95.206489618809997</v>
      </c>
      <c r="X51" s="7">
        <f t="shared" si="101"/>
        <v>95.206972201184996</v>
      </c>
      <c r="Y51" s="7">
        <v>99.4</v>
      </c>
      <c r="Z51" s="9">
        <f t="shared" si="102"/>
        <v>4.1930277988150095</v>
      </c>
      <c r="AA51" s="9">
        <f t="shared" si="103"/>
        <v>5.7258605559763004E-2</v>
      </c>
      <c r="AB51" s="9">
        <f t="shared" si="104"/>
        <v>963.91988202407663</v>
      </c>
      <c r="AC51" s="12">
        <v>0.99839999999999995</v>
      </c>
      <c r="AD51" s="12">
        <f t="shared" si="105"/>
        <v>2258180.3232856165</v>
      </c>
      <c r="AE51" s="12">
        <f t="shared" si="106"/>
        <v>0.59000762111999994</v>
      </c>
      <c r="AF51" s="12">
        <v>9.81</v>
      </c>
      <c r="AG51" s="7">
        <f t="shared" si="107"/>
        <v>1046740.0662296856</v>
      </c>
      <c r="AH51" s="7">
        <f t="shared" si="108"/>
        <v>1.0467400662296855</v>
      </c>
      <c r="AI51" s="7">
        <f t="shared" si="109"/>
        <v>2.6457513110645908E-2</v>
      </c>
      <c r="AJ51" s="7">
        <f t="shared" si="110"/>
        <v>1.4143549766589715E-2</v>
      </c>
      <c r="AK51" s="7">
        <f t="shared" si="111"/>
        <v>3.0000666659259424E-2</v>
      </c>
      <c r="AL51" s="7">
        <f t="shared" si="28"/>
        <v>1.3607620860985912</v>
      </c>
      <c r="AM51" s="7">
        <f t="shared" si="29"/>
        <v>0.73271804636077986</v>
      </c>
      <c r="AN51" s="7">
        <f t="shared" si="30"/>
        <v>1.0467400662296855</v>
      </c>
      <c r="AO51" s="9">
        <f t="shared" si="112"/>
        <v>4304.0109180623158</v>
      </c>
      <c r="AP51" s="9">
        <f t="shared" si="113"/>
        <v>0.67771166328543486</v>
      </c>
      <c r="AQ51" s="9">
        <f t="shared" si="21"/>
        <v>30</v>
      </c>
      <c r="AR51" s="9">
        <f t="shared" si="114"/>
        <v>2.2593468182102662E-4</v>
      </c>
      <c r="AS51" s="12">
        <f t="shared" si="115"/>
        <v>1.2798654923651744E-5</v>
      </c>
      <c r="AT51" s="9">
        <f t="shared" si="116"/>
        <v>0.69692925232551195</v>
      </c>
      <c r="AU51" s="9">
        <f t="shared" si="117"/>
        <v>7.9917609943481998E-3</v>
      </c>
      <c r="AV51" s="9">
        <f t="shared" si="32"/>
        <v>4.0625772705528442</v>
      </c>
      <c r="AY51" s="7">
        <f t="shared" si="33"/>
        <v>1095922.7086634396</v>
      </c>
      <c r="AZ51" s="7">
        <f t="shared" si="34"/>
        <v>1.0959227086634395</v>
      </c>
      <c r="BA51" s="7">
        <f t="shared" si="35"/>
        <v>-4.6986490744457576</v>
      </c>
      <c r="BB51" s="7">
        <f t="shared" si="36"/>
        <v>4.6986490744457576</v>
      </c>
      <c r="BD51" s="7">
        <f t="shared" si="37"/>
        <v>29280377.712381974</v>
      </c>
      <c r="BE51" s="7">
        <f t="shared" si="38"/>
        <v>0.17056776057814982</v>
      </c>
      <c r="BF51" s="7">
        <f t="shared" si="39"/>
        <v>6.1931276036248727E-2</v>
      </c>
      <c r="BG51" s="7">
        <f t="shared" si="40"/>
        <v>1.0160473902324874</v>
      </c>
      <c r="BH51" s="7">
        <f t="shared" si="41"/>
        <v>0.98973665961010282</v>
      </c>
      <c r="BI51" s="7">
        <f t="shared" si="42"/>
        <v>1086666.0229589008</v>
      </c>
      <c r="BJ51" s="7">
        <f t="shared" si="43"/>
        <v>1397706.7597773299</v>
      </c>
      <c r="BK51" s="7">
        <f t="shared" si="44"/>
        <v>1.3977067597773298</v>
      </c>
      <c r="BL51" s="7">
        <f t="shared" si="45"/>
        <v>-33.529498379842458</v>
      </c>
      <c r="BM51" s="7">
        <f t="shared" si="46"/>
        <v>33.529498379842458</v>
      </c>
      <c r="BO51" s="7">
        <f t="shared" si="47"/>
        <v>1353779.4915635018</v>
      </c>
      <c r="BP51" s="7">
        <f t="shared" si="48"/>
        <v>1.3537794915635017</v>
      </c>
      <c r="BQ51" s="7">
        <f t="shared" si="49"/>
        <v>-29.33291991389606</v>
      </c>
      <c r="BR51" s="7">
        <f t="shared" si="50"/>
        <v>29.33291991389606</v>
      </c>
      <c r="BT51" s="7">
        <f t="shared" si="51"/>
        <v>1338531.5525660331</v>
      </c>
      <c r="BU51" s="7">
        <f t="shared" si="52"/>
        <v>1.3385315525660331</v>
      </c>
      <c r="BV51" s="7">
        <f t="shared" si="53"/>
        <v>-27.876212610010086</v>
      </c>
      <c r="BW51" s="7">
        <f t="shared" si="54"/>
        <v>27.876212610010086</v>
      </c>
      <c r="BY51" s="7">
        <f t="shared" si="55"/>
        <v>0.2564776409642931</v>
      </c>
      <c r="BZ51" s="7">
        <f t="shared" si="56"/>
        <v>1633.7414086182248</v>
      </c>
      <c r="CA51" s="7">
        <f t="shared" si="57"/>
        <v>0.30802871829580641</v>
      </c>
      <c r="CB51" s="7">
        <f t="shared" si="58"/>
        <v>0.91154767004924542</v>
      </c>
      <c r="CC51" s="7">
        <f t="shared" si="59"/>
        <v>2.705016150440573</v>
      </c>
      <c r="CD51" s="7">
        <f t="shared" si="60"/>
        <v>8365822.2035377063</v>
      </c>
      <c r="CE51" s="7">
        <f t="shared" si="61"/>
        <v>6354027.4534445927</v>
      </c>
      <c r="CF51" s="7">
        <f t="shared" si="62"/>
        <v>6.3540274534445924</v>
      </c>
      <c r="CG51" s="7">
        <f t="shared" si="63"/>
        <v>-507.03011745136848</v>
      </c>
      <c r="CH51" s="7">
        <f t="shared" si="64"/>
        <v>507.03011745136848</v>
      </c>
      <c r="CJ51" s="7">
        <f t="shared" si="65"/>
        <v>1.5438134602341049</v>
      </c>
      <c r="CK51" s="7">
        <f t="shared" si="66"/>
        <v>7.9441638524897912E-2</v>
      </c>
      <c r="CL51" s="7">
        <f t="shared" si="67"/>
        <v>0.296879</v>
      </c>
      <c r="CM51" s="7">
        <f t="shared" si="68"/>
        <v>406.25772705528448</v>
      </c>
      <c r="CN51" s="7">
        <f t="shared" si="69"/>
        <v>121.6093877504458</v>
      </c>
      <c r="CO51" s="7">
        <f t="shared" si="70"/>
        <v>0.48978133773362142</v>
      </c>
      <c r="CP51" s="7">
        <f t="shared" si="71"/>
        <v>6.1610002933736321E-2</v>
      </c>
      <c r="CQ51" s="7">
        <f t="shared" si="72"/>
        <v>1.0616100029337363</v>
      </c>
      <c r="CR51" s="7">
        <f t="shared" si="73"/>
        <v>10.256053959548629</v>
      </c>
      <c r="CS51" s="7">
        <f t="shared" si="74"/>
        <v>11.239842435546928</v>
      </c>
      <c r="CT51" s="7">
        <f t="shared" si="75"/>
        <v>-973.79499439936171</v>
      </c>
      <c r="CU51" s="7">
        <f t="shared" si="76"/>
        <v>973.79499439936171</v>
      </c>
      <c r="CW51" s="7">
        <f t="shared" si="77"/>
        <v>1.1932424331974429</v>
      </c>
      <c r="CX51" s="7">
        <f t="shared" si="78"/>
        <v>1.3077014794818951</v>
      </c>
      <c r="CY51" s="7">
        <f t="shared" si="79"/>
        <v>-24.930870774076872</v>
      </c>
      <c r="CZ51" s="7">
        <f t="shared" si="80"/>
        <v>24.930870774076872</v>
      </c>
      <c r="DB51" s="7">
        <f t="shared" si="81"/>
        <v>1.2094740099747037</v>
      </c>
      <c r="DC51" s="7">
        <f t="shared" si="82"/>
        <v>1.3254900330695092</v>
      </c>
      <c r="DD51" s="7">
        <f t="shared" si="83"/>
        <v>-26.630294935004212</v>
      </c>
      <c r="DE51" s="7">
        <f t="shared" si="84"/>
        <v>26.630294935004212</v>
      </c>
      <c r="DG51" s="7">
        <f t="shared" si="85"/>
        <v>8365822.2035377063</v>
      </c>
      <c r="DH51" s="7">
        <f t="shared" si="86"/>
        <v>0.125</v>
      </c>
      <c r="DI51" s="7">
        <f t="shared" si="87"/>
        <v>1045727.7754422133</v>
      </c>
      <c r="DJ51" s="7">
        <f t="shared" si="88"/>
        <v>1.0457277754422132</v>
      </c>
      <c r="DK51" s="7">
        <f t="shared" si="89"/>
        <v>9.6708898429632678E-2</v>
      </c>
      <c r="DL51" s="7">
        <f t="shared" si="90"/>
        <v>9.6708898429632678E-2</v>
      </c>
    </row>
    <row r="52" spans="1:116" x14ac:dyDescent="0.3">
      <c r="A52" s="7">
        <v>51</v>
      </c>
      <c r="B52" s="8" t="s">
        <v>42</v>
      </c>
      <c r="C52" s="9">
        <v>90</v>
      </c>
      <c r="D52" s="7">
        <v>300</v>
      </c>
      <c r="E52" s="10">
        <v>300</v>
      </c>
      <c r="F52" s="9">
        <v>20</v>
      </c>
      <c r="G52" s="21">
        <f t="shared" si="25"/>
        <v>3.183098861837907</v>
      </c>
      <c r="H52" s="7">
        <v>0.2</v>
      </c>
      <c r="I52" s="7">
        <v>295.77012534565603</v>
      </c>
      <c r="J52" s="7">
        <v>19.988770294289999</v>
      </c>
      <c r="K52" s="7">
        <f t="shared" si="91"/>
        <v>6.7582113882968517E-2</v>
      </c>
      <c r="L52" s="7">
        <f t="shared" si="92"/>
        <v>7.9999999999999996E-6</v>
      </c>
      <c r="M52" s="7">
        <f t="shared" si="93"/>
        <v>1.8021897035458269E-6</v>
      </c>
      <c r="N52" s="7">
        <f t="shared" si="94"/>
        <v>5912.0810954476783</v>
      </c>
      <c r="O52" s="7">
        <f t="shared" si="95"/>
        <v>1.5400000000000002E-5</v>
      </c>
      <c r="P52" s="7">
        <f t="shared" si="96"/>
        <v>9.9999999999999995E-8</v>
      </c>
      <c r="Q52" s="7">
        <v>0.02</v>
      </c>
      <c r="R52" s="7">
        <f t="shared" si="97"/>
        <v>1.2987012987012987E-4</v>
      </c>
      <c r="S52" s="7">
        <f t="shared" si="98"/>
        <v>11.361034681426634</v>
      </c>
      <c r="T52" s="9">
        <f t="shared" si="99"/>
        <v>5900.7200607662517</v>
      </c>
      <c r="U52" s="11">
        <f t="shared" si="100"/>
        <v>0.98345334346104196</v>
      </c>
      <c r="V52" s="16">
        <v>97.89933546284</v>
      </c>
      <c r="W52" s="16">
        <v>97.900212481539995</v>
      </c>
      <c r="X52" s="7">
        <f t="shared" si="101"/>
        <v>97.89977397218999</v>
      </c>
      <c r="Y52" s="7">
        <v>99.4</v>
      </c>
      <c r="Z52" s="9">
        <f t="shared" si="102"/>
        <v>1.5002260278100152</v>
      </c>
      <c r="AA52" s="9">
        <f t="shared" si="103"/>
        <v>5.6720045205562009E-2</v>
      </c>
      <c r="AB52" s="9">
        <f t="shared" si="104"/>
        <v>962.0604479028749</v>
      </c>
      <c r="AC52" s="12">
        <v>0.99839999999999995</v>
      </c>
      <c r="AD52" s="12">
        <f t="shared" si="105"/>
        <v>2258180.3232856165</v>
      </c>
      <c r="AE52" s="12">
        <f t="shared" si="106"/>
        <v>0.59000762111999994</v>
      </c>
      <c r="AF52" s="12">
        <v>9.81</v>
      </c>
      <c r="AG52" s="7">
        <f t="shared" si="107"/>
        <v>983453.34346104192</v>
      </c>
      <c r="AH52" s="7">
        <f t="shared" si="108"/>
        <v>0.98345334346104196</v>
      </c>
      <c r="AI52" s="7">
        <f t="shared" si="109"/>
        <v>2.6457513110645908E-2</v>
      </c>
      <c r="AJ52" s="7">
        <f t="shared" si="110"/>
        <v>1.4143549766589715E-2</v>
      </c>
      <c r="AK52" s="7">
        <f t="shared" si="111"/>
        <v>3.0000666659259424E-2</v>
      </c>
      <c r="AL52" s="7">
        <f t="shared" si="28"/>
        <v>1.2784893464993545</v>
      </c>
      <c r="AM52" s="7">
        <f t="shared" si="29"/>
        <v>0.68841734042272928</v>
      </c>
      <c r="AN52" s="7">
        <f t="shared" si="30"/>
        <v>0.98345334346104196</v>
      </c>
      <c r="AO52" s="9">
        <f t="shared" si="112"/>
        <v>4316.6516133264204</v>
      </c>
      <c r="AP52" s="9">
        <f t="shared" si="113"/>
        <v>0.67843584530075907</v>
      </c>
      <c r="AQ52" s="9">
        <f t="shared" si="21"/>
        <v>15</v>
      </c>
      <c r="AR52" s="9">
        <f t="shared" si="114"/>
        <v>2.1928240359455828E-4</v>
      </c>
      <c r="AS52" s="12">
        <f t="shared" si="115"/>
        <v>1.2798654923651744E-5</v>
      </c>
      <c r="AT52" s="9">
        <f t="shared" si="116"/>
        <v>0.71673399504661006</v>
      </c>
      <c r="AU52" s="9">
        <f t="shared" si="117"/>
        <v>2.8677750118192426E-3</v>
      </c>
      <c r="AV52" s="9">
        <f t="shared" si="32"/>
        <v>8.1557552350969722</v>
      </c>
      <c r="AY52" s="7">
        <f t="shared" si="33"/>
        <v>1092808.5980880002</v>
      </c>
      <c r="AZ52" s="7">
        <f t="shared" si="34"/>
        <v>1.0928085980880002</v>
      </c>
      <c r="BA52" s="7">
        <f t="shared" si="35"/>
        <v>-11.119516279451261</v>
      </c>
      <c r="BB52" s="7">
        <f t="shared" si="36"/>
        <v>11.119516279451261</v>
      </c>
      <c r="BD52" s="7">
        <f t="shared" si="37"/>
        <v>29197176.284793898</v>
      </c>
      <c r="BE52" s="7">
        <f t="shared" si="38"/>
        <v>0.2445865354233451</v>
      </c>
      <c r="BF52" s="7">
        <f t="shared" si="39"/>
        <v>2.6835826125023332E-2</v>
      </c>
      <c r="BG52" s="7">
        <f t="shared" si="40"/>
        <v>1.0057437741571571</v>
      </c>
      <c r="BH52" s="7">
        <f t="shared" si="41"/>
        <v>0.98973665961010282</v>
      </c>
      <c r="BI52" s="7">
        <f t="shared" si="42"/>
        <v>1030274.0760762503</v>
      </c>
      <c r="BJ52" s="7">
        <f t="shared" si="43"/>
        <v>1221037.6174689909</v>
      </c>
      <c r="BK52" s="7">
        <f t="shared" si="44"/>
        <v>1.2210376174689908</v>
      </c>
      <c r="BL52" s="7">
        <f t="shared" si="45"/>
        <v>-24.158164247205118</v>
      </c>
      <c r="BM52" s="7">
        <f t="shared" si="46"/>
        <v>24.158164247205118</v>
      </c>
      <c r="BO52" s="7">
        <f t="shared" si="47"/>
        <v>1352211.0341774859</v>
      </c>
      <c r="BP52" s="7">
        <f t="shared" si="48"/>
        <v>1.3522110341774858</v>
      </c>
      <c r="BQ52" s="7">
        <f t="shared" si="49"/>
        <v>-37.496205912390764</v>
      </c>
      <c r="BR52" s="7">
        <f t="shared" si="50"/>
        <v>37.496205912390764</v>
      </c>
      <c r="BT52" s="7">
        <f t="shared" si="51"/>
        <v>1334728.0587334353</v>
      </c>
      <c r="BU52" s="7">
        <f t="shared" si="52"/>
        <v>1.3347280587334354</v>
      </c>
      <c r="BV52" s="7">
        <f t="shared" si="53"/>
        <v>-35.71849316574199</v>
      </c>
      <c r="BW52" s="7">
        <f t="shared" si="54"/>
        <v>35.71849316574199</v>
      </c>
      <c r="BY52" s="7">
        <f t="shared" si="55"/>
        <v>0.25637861371164317</v>
      </c>
      <c r="BZ52" s="7">
        <f t="shared" si="56"/>
        <v>1630.5898660709065</v>
      </c>
      <c r="CA52" s="7">
        <f t="shared" si="57"/>
        <v>0.30795438080614845</v>
      </c>
      <c r="CB52" s="7">
        <f t="shared" si="58"/>
        <v>0.91158560768147601</v>
      </c>
      <c r="CC52" s="7">
        <f t="shared" si="59"/>
        <v>2.7043634682331037</v>
      </c>
      <c r="CD52" s="7">
        <f t="shared" si="60"/>
        <v>8342050.3670839705</v>
      </c>
      <c r="CE52" s="7">
        <f t="shared" si="61"/>
        <v>6333178.2948919432</v>
      </c>
      <c r="CF52" s="7">
        <f t="shared" si="62"/>
        <v>6.3331782948919431</v>
      </c>
      <c r="CG52" s="7">
        <f t="shared" si="63"/>
        <v>-543.97343676760022</v>
      </c>
      <c r="CH52" s="7">
        <f t="shared" si="64"/>
        <v>543.97343676760022</v>
      </c>
      <c r="CJ52" s="7">
        <f t="shared" si="65"/>
        <v>1.5438134602341049</v>
      </c>
      <c r="CK52" s="7">
        <f t="shared" si="66"/>
        <v>7.9441638524897912E-2</v>
      </c>
      <c r="CL52" s="7">
        <f t="shared" si="67"/>
        <v>0.296879</v>
      </c>
      <c r="CM52" s="7">
        <f t="shared" si="68"/>
        <v>407.78776175484865</v>
      </c>
      <c r="CN52" s="7">
        <f t="shared" si="69"/>
        <v>122.06362292201771</v>
      </c>
      <c r="CO52" s="7">
        <f t="shared" si="70"/>
        <v>0.4905089482496271</v>
      </c>
      <c r="CP52" s="7">
        <f t="shared" si="71"/>
        <v>2.2076228731134191E-2</v>
      </c>
      <c r="CQ52" s="7">
        <f t="shared" si="72"/>
        <v>1.0220762287311342</v>
      </c>
      <c r="CR52" s="7">
        <f t="shared" si="73"/>
        <v>9.9110059468036624</v>
      </c>
      <c r="CS52" s="7">
        <f t="shared" si="74"/>
        <v>10.830832514368344</v>
      </c>
      <c r="CT52" s="7">
        <f t="shared" si="75"/>
        <v>-1001.3061866515878</v>
      </c>
      <c r="CU52" s="7">
        <f t="shared" si="76"/>
        <v>1001.3061866515878</v>
      </c>
      <c r="CW52" s="7">
        <f t="shared" si="77"/>
        <v>1.0692363594561034</v>
      </c>
      <c r="CX52" s="7">
        <f t="shared" si="78"/>
        <v>1.1684706870019415</v>
      </c>
      <c r="CY52" s="7">
        <f t="shared" si="79"/>
        <v>-18.813027051163679</v>
      </c>
      <c r="CZ52" s="7">
        <f t="shared" si="80"/>
        <v>18.813027051163679</v>
      </c>
      <c r="DB52" s="7">
        <f t="shared" si="81"/>
        <v>1.0750591776858562</v>
      </c>
      <c r="DC52" s="7">
        <f t="shared" si="82"/>
        <v>1.174833912828519</v>
      </c>
      <c r="DD52" s="7">
        <f t="shared" si="83"/>
        <v>-19.460055796237</v>
      </c>
      <c r="DE52" s="7">
        <f t="shared" si="84"/>
        <v>19.460055796237</v>
      </c>
      <c r="DG52" s="7">
        <f t="shared" si="85"/>
        <v>8342050.3670839705</v>
      </c>
      <c r="DH52" s="7">
        <f t="shared" si="86"/>
        <v>0.125</v>
      </c>
      <c r="DI52" s="7">
        <f t="shared" si="87"/>
        <v>1042756.2958854963</v>
      </c>
      <c r="DJ52" s="7">
        <f t="shared" si="88"/>
        <v>1.0427562958854963</v>
      </c>
      <c r="DK52" s="7">
        <f t="shared" si="89"/>
        <v>-6.0300727857359284</v>
      </c>
      <c r="DL52" s="7">
        <f t="shared" si="90"/>
        <v>6.0300727857359284</v>
      </c>
    </row>
    <row r="53" spans="1:116" s="14" customFormat="1" x14ac:dyDescent="0.3">
      <c r="A53" s="7">
        <v>52</v>
      </c>
      <c r="B53" s="14" t="s">
        <v>41</v>
      </c>
      <c r="C53" s="9">
        <v>180</v>
      </c>
      <c r="D53" s="14">
        <v>300</v>
      </c>
      <c r="E53" s="15">
        <v>300</v>
      </c>
      <c r="F53" s="9">
        <v>10</v>
      </c>
      <c r="G53" s="21">
        <f t="shared" si="25"/>
        <v>1.5915494309189535</v>
      </c>
      <c r="H53" s="14">
        <v>0.2</v>
      </c>
      <c r="I53" s="14">
        <f>0.01391665588616*1000*10.6667</f>
        <v>148.44479334090286</v>
      </c>
      <c r="J53" s="14">
        <v>18.678324832320001</v>
      </c>
      <c r="K53" s="14">
        <f t="shared" si="91"/>
        <v>0.12582674280414338</v>
      </c>
      <c r="L53" s="14">
        <f t="shared" si="92"/>
        <v>3.9999999999999998E-6</v>
      </c>
      <c r="M53" s="14">
        <f t="shared" si="93"/>
        <v>1.677689904055245E-6</v>
      </c>
      <c r="N53" s="14">
        <f t="shared" si="94"/>
        <v>2772.7000696879968</v>
      </c>
      <c r="O53" s="14">
        <f t="shared" si="95"/>
        <v>1.5400000000000002E-5</v>
      </c>
      <c r="P53" s="14">
        <f t="shared" si="96"/>
        <v>9.9999999999999995E-8</v>
      </c>
      <c r="Q53" s="14">
        <v>0.02</v>
      </c>
      <c r="R53" s="14">
        <f t="shared" si="97"/>
        <v>1.2987012987012987E-4</v>
      </c>
      <c r="S53" s="14">
        <f t="shared" si="98"/>
        <v>2.8617995675355012</v>
      </c>
      <c r="T53" s="9">
        <f t="shared" si="99"/>
        <v>2769.8382701204614</v>
      </c>
      <c r="U53" s="15">
        <f t="shared" si="100"/>
        <v>0.92327942337348712</v>
      </c>
      <c r="V53" s="14">
        <v>92.79</v>
      </c>
      <c r="W53" s="14">
        <v>91.78</v>
      </c>
      <c r="X53" s="14">
        <f t="shared" si="101"/>
        <v>92.284999999999997</v>
      </c>
      <c r="Y53" s="14">
        <v>99.4</v>
      </c>
      <c r="Z53" s="9">
        <f t="shared" si="102"/>
        <v>7.1150000000000091</v>
      </c>
      <c r="AA53" s="9">
        <f t="shared" si="103"/>
        <v>5.7843000000000006E-2</v>
      </c>
      <c r="AB53" s="9">
        <f t="shared" si="104"/>
        <v>965.88834432500005</v>
      </c>
      <c r="AC53" s="12">
        <v>0.99839999999999995</v>
      </c>
      <c r="AD53" s="12">
        <f t="shared" si="105"/>
        <v>2258180.3232856165</v>
      </c>
      <c r="AE53" s="12">
        <f t="shared" si="106"/>
        <v>0.59000762111999994</v>
      </c>
      <c r="AF53" s="12">
        <v>9.81</v>
      </c>
      <c r="AG53" s="14">
        <f t="shared" si="107"/>
        <v>923279.42337348708</v>
      </c>
      <c r="AH53" s="14">
        <f t="shared" si="108"/>
        <v>0.92327942337348712</v>
      </c>
      <c r="AI53" s="14">
        <f t="shared" si="109"/>
        <v>2.6457513110645908E-2</v>
      </c>
      <c r="AJ53" s="14">
        <f t="shared" si="110"/>
        <v>1.4143549766589715E-2</v>
      </c>
      <c r="AK53" s="14">
        <f t="shared" si="111"/>
        <v>3.0000666659259424E-2</v>
      </c>
      <c r="AL53" s="14">
        <f t="shared" si="28"/>
        <v>1.2002632503855333</v>
      </c>
      <c r="AM53" s="14">
        <f t="shared" si="29"/>
        <v>0.64629559636144096</v>
      </c>
      <c r="AN53" s="14">
        <f t="shared" si="30"/>
        <v>0.92327942337348712</v>
      </c>
      <c r="AO53" s="9">
        <f t="shared" si="112"/>
        <v>4291.2263933477461</v>
      </c>
      <c r="AP53" s="9">
        <f t="shared" si="113"/>
        <v>0.67676178774999995</v>
      </c>
      <c r="AQ53" s="9">
        <f t="shared" si="21"/>
        <v>30</v>
      </c>
      <c r="AR53" s="9">
        <f t="shared" si="114"/>
        <v>2.3462966024999973E-4</v>
      </c>
      <c r="AS53" s="12">
        <f t="shared" si="115"/>
        <v>1.2798654923651744E-5</v>
      </c>
      <c r="AT53" s="9">
        <f t="shared" si="116"/>
        <v>0.67215818259035254</v>
      </c>
      <c r="AU53" s="9">
        <f t="shared" si="117"/>
        <v>1.352065442862666E-2</v>
      </c>
      <c r="AV53" s="9">
        <f t="shared" si="32"/>
        <v>4.0461304251803458</v>
      </c>
      <c r="AW53" s="13"/>
      <c r="AX53" s="13"/>
      <c r="AY53" s="14">
        <f t="shared" si="33"/>
        <v>1099269.2229515784</v>
      </c>
      <c r="AZ53" s="14">
        <f t="shared" si="34"/>
        <v>1.0992692229515784</v>
      </c>
      <c r="BA53" s="14">
        <f t="shared" si="35"/>
        <v>-19.061380024592992</v>
      </c>
      <c r="BB53" s="14">
        <f t="shared" si="36"/>
        <v>19.061380024592992</v>
      </c>
      <c r="BD53" s="14">
        <f t="shared" si="37"/>
        <v>29369788.399469655</v>
      </c>
      <c r="BE53" s="14">
        <f t="shared" si="38"/>
        <v>0.17056776057814982</v>
      </c>
      <c r="BF53" s="14">
        <f t="shared" si="39"/>
        <v>6.2233487067242479E-2</v>
      </c>
      <c r="BG53" s="14">
        <f t="shared" si="40"/>
        <v>1.0272241169534315</v>
      </c>
      <c r="BH53" s="7">
        <f t="shared" si="41"/>
        <v>0.8</v>
      </c>
      <c r="BI53" s="14">
        <f t="shared" si="42"/>
        <v>1150981.2115953336</v>
      </c>
      <c r="BJ53" s="14">
        <f t="shared" si="43"/>
        <v>1407180.0139846164</v>
      </c>
      <c r="BK53" s="14">
        <f t="shared" si="44"/>
        <v>1.4071800139846165</v>
      </c>
      <c r="BL53" s="14">
        <f t="shared" si="45"/>
        <v>-52.411066288366833</v>
      </c>
      <c r="BM53" s="7">
        <f t="shared" si="46"/>
        <v>52.411066288366833</v>
      </c>
      <c r="BO53" s="14">
        <f t="shared" si="47"/>
        <v>1355438.5966702751</v>
      </c>
      <c r="BP53" s="14">
        <f t="shared" si="48"/>
        <v>1.3554385966702751</v>
      </c>
      <c r="BQ53" s="14">
        <f t="shared" si="49"/>
        <v>-46.806975478535058</v>
      </c>
      <c r="BR53" s="14">
        <f t="shared" si="50"/>
        <v>46.806975478535058</v>
      </c>
      <c r="BT53" s="14">
        <f t="shared" si="51"/>
        <v>1342618.8982614698</v>
      </c>
      <c r="BU53" s="14">
        <f t="shared" si="52"/>
        <v>1.3426188982614697</v>
      </c>
      <c r="BV53" s="14">
        <f t="shared" si="53"/>
        <v>-45.41847941935022</v>
      </c>
      <c r="BW53" s="14">
        <f t="shared" si="54"/>
        <v>45.41847941935022</v>
      </c>
      <c r="BY53" s="14">
        <f t="shared" si="55"/>
        <v>0.25658230830799328</v>
      </c>
      <c r="BZ53" s="14">
        <f t="shared" si="56"/>
        <v>1637.0777423035199</v>
      </c>
      <c r="CA53" s="14">
        <f t="shared" si="57"/>
        <v>0.30810727797329168</v>
      </c>
      <c r="CB53" s="14">
        <f t="shared" si="58"/>
        <v>0.91150756790512943</v>
      </c>
      <c r="CC53" s="14">
        <f t="shared" si="59"/>
        <v>2.7057059036371776</v>
      </c>
      <c r="CD53" s="14">
        <f t="shared" si="60"/>
        <v>8391368.1141341869</v>
      </c>
      <c r="CE53" s="14">
        <f t="shared" si="61"/>
        <v>6376400.6650297139</v>
      </c>
      <c r="CF53" s="14">
        <f t="shared" si="62"/>
        <v>6.3764006650297143</v>
      </c>
      <c r="CG53" s="14">
        <f t="shared" si="63"/>
        <v>-590.62523257927273</v>
      </c>
      <c r="CH53" s="14">
        <f t="shared" si="64"/>
        <v>590.62523257927273</v>
      </c>
      <c r="CJ53" s="14">
        <f t="shared" si="65"/>
        <v>1.5438134602341049</v>
      </c>
      <c r="CK53" s="14">
        <f t="shared" si="66"/>
        <v>7.9441638524897912E-2</v>
      </c>
      <c r="CL53" s="14">
        <f t="shared" si="67"/>
        <v>0.296879</v>
      </c>
      <c r="CM53" s="14">
        <f t="shared" si="68"/>
        <v>404.61304251803455</v>
      </c>
      <c r="CN53" s="14">
        <f t="shared" si="69"/>
        <v>121.12111544971158</v>
      </c>
      <c r="CO53" s="14">
        <f t="shared" si="70"/>
        <v>0.48907423736572669</v>
      </c>
      <c r="CP53" s="14">
        <f t="shared" si="71"/>
        <v>0.10439289596571449</v>
      </c>
      <c r="CQ53" s="14">
        <f t="shared" si="72"/>
        <v>1.1043928959657145</v>
      </c>
      <c r="CR53" s="14">
        <f t="shared" si="73"/>
        <v>10.626534566407704</v>
      </c>
      <c r="CS53" s="14">
        <f t="shared" si="74"/>
        <v>11.681422395483084</v>
      </c>
      <c r="CT53" s="14">
        <f t="shared" si="75"/>
        <v>-1165.2098703555412</v>
      </c>
      <c r="CU53" s="14">
        <f t="shared" si="76"/>
        <v>1165.2098703555412</v>
      </c>
      <c r="CW53" s="14">
        <f t="shared" si="77"/>
        <v>1.3274662244836815</v>
      </c>
      <c r="CX53" s="14">
        <f t="shared" si="78"/>
        <v>1.4592427650826421</v>
      </c>
      <c r="CY53" s="14">
        <f t="shared" si="79"/>
        <v>-58.049960623063278</v>
      </c>
      <c r="CZ53" s="14">
        <f t="shared" si="80"/>
        <v>58.049960623063278</v>
      </c>
      <c r="DB53" s="14">
        <f t="shared" si="81"/>
        <v>1.3549358462834293</v>
      </c>
      <c r="DC53" s="14">
        <f t="shared" si="82"/>
        <v>1.4894392748932246</v>
      </c>
      <c r="DD53" s="14">
        <f t="shared" si="83"/>
        <v>-61.320531703294897</v>
      </c>
      <c r="DE53" s="14">
        <f t="shared" si="84"/>
        <v>61.320531703294897</v>
      </c>
      <c r="DG53" s="14">
        <f t="shared" si="85"/>
        <v>8391368.1141341869</v>
      </c>
      <c r="DH53" s="14">
        <f t="shared" si="86"/>
        <v>3.952847075210475E-2</v>
      </c>
      <c r="DI53" s="14">
        <f t="shared" si="87"/>
        <v>331697.94906969758</v>
      </c>
      <c r="DJ53" s="14">
        <f t="shared" si="88"/>
        <v>0.33169794906969757</v>
      </c>
      <c r="DK53" s="14">
        <f t="shared" si="89"/>
        <v>64.073936809104168</v>
      </c>
      <c r="DL53" s="14">
        <f t="shared" si="90"/>
        <v>64.073936809104168</v>
      </c>
    </row>
    <row r="54" spans="1:116" x14ac:dyDescent="0.3">
      <c r="A54" s="7">
        <v>53</v>
      </c>
      <c r="B54" s="8" t="s">
        <v>41</v>
      </c>
      <c r="C54" s="9">
        <v>180</v>
      </c>
      <c r="D54" s="7">
        <v>300</v>
      </c>
      <c r="E54" s="10">
        <v>300</v>
      </c>
      <c r="F54" s="9">
        <v>20</v>
      </c>
      <c r="G54" s="21">
        <f t="shared" si="25"/>
        <v>3.183098861837907</v>
      </c>
      <c r="H54" s="7">
        <v>0.2</v>
      </c>
      <c r="I54" s="16">
        <f>0.02047449803649*10.6667*1000</f>
        <v>218.39532820582789</v>
      </c>
      <c r="J54" s="7">
        <v>23.845766958900001</v>
      </c>
      <c r="K54" s="7">
        <f t="shared" si="91"/>
        <v>0.10918625024994319</v>
      </c>
      <c r="L54" s="7">
        <f t="shared" si="92"/>
        <v>7.9999999999999996E-6</v>
      </c>
      <c r="M54" s="7">
        <f t="shared" si="93"/>
        <v>2.9116333399984851E-6</v>
      </c>
      <c r="N54" s="7">
        <f t="shared" si="94"/>
        <v>5207.8041013086522</v>
      </c>
      <c r="O54" s="7">
        <f t="shared" si="95"/>
        <v>1.5400000000000002E-5</v>
      </c>
      <c r="P54" s="7">
        <f t="shared" si="96"/>
        <v>9.9999999999999995E-8</v>
      </c>
      <c r="Q54" s="7">
        <v>0.02</v>
      </c>
      <c r="R54" s="7">
        <f t="shared" si="97"/>
        <v>1.2987012987012987E-4</v>
      </c>
      <c r="S54" s="7">
        <f t="shared" si="98"/>
        <v>6.1943531665105569</v>
      </c>
      <c r="T54" s="9">
        <f t="shared" si="99"/>
        <v>5201.6097481421421</v>
      </c>
      <c r="U54" s="11">
        <f t="shared" si="100"/>
        <v>0.86693495802369036</v>
      </c>
      <c r="V54" s="16">
        <v>97.709674469180001</v>
      </c>
      <c r="W54" s="16">
        <v>97.709674469180001</v>
      </c>
      <c r="X54" s="7">
        <f t="shared" si="101"/>
        <v>97.709674469180001</v>
      </c>
      <c r="Y54" s="7">
        <v>99.4</v>
      </c>
      <c r="Z54" s="9">
        <f t="shared" si="102"/>
        <v>1.6903255308200045</v>
      </c>
      <c r="AA54" s="9">
        <f t="shared" si="103"/>
        <v>5.6758065106164005E-2</v>
      </c>
      <c r="AB54" s="9">
        <f t="shared" si="104"/>
        <v>962.19314274440785</v>
      </c>
      <c r="AC54" s="12">
        <v>0.99839999999999995</v>
      </c>
      <c r="AD54" s="12">
        <f t="shared" si="105"/>
        <v>2258180.3232856165</v>
      </c>
      <c r="AE54" s="12">
        <f t="shared" si="106"/>
        <v>0.59000762111999994</v>
      </c>
      <c r="AF54" s="12">
        <v>9.81</v>
      </c>
      <c r="AG54" s="7">
        <f t="shared" si="107"/>
        <v>866934.95802369039</v>
      </c>
      <c r="AH54" s="7">
        <f t="shared" si="108"/>
        <v>0.86693495802369036</v>
      </c>
      <c r="AI54" s="7">
        <f t="shared" si="109"/>
        <v>2.6457513110645908E-2</v>
      </c>
      <c r="AJ54" s="7">
        <f t="shared" si="110"/>
        <v>1.4143549766589715E-2</v>
      </c>
      <c r="AK54" s="7">
        <f t="shared" si="111"/>
        <v>3.0000666659259424E-2</v>
      </c>
      <c r="AL54" s="7">
        <f t="shared" si="28"/>
        <v>1.1270154454307975</v>
      </c>
      <c r="AM54" s="7">
        <f t="shared" si="29"/>
        <v>0.60685447061658326</v>
      </c>
      <c r="AN54" s="7">
        <f t="shared" si="30"/>
        <v>0.86693495802369036</v>
      </c>
      <c r="AO54" s="9">
        <f t="shared" si="112"/>
        <v>4315.7316186608023</v>
      </c>
      <c r="AP54" s="9">
        <f t="shared" si="113"/>
        <v>0.67838947898346469</v>
      </c>
      <c r="AQ54" s="9">
        <f t="shared" si="21"/>
        <v>15</v>
      </c>
      <c r="AR54" s="9">
        <f t="shared" si="114"/>
        <v>2.1970920542535794E-4</v>
      </c>
      <c r="AS54" s="12">
        <f t="shared" si="115"/>
        <v>1.2798654923651744E-5</v>
      </c>
      <c r="AT54" s="9">
        <f t="shared" si="116"/>
        <v>0.7154452768619235</v>
      </c>
      <c r="AU54" s="9">
        <f t="shared" si="117"/>
        <v>3.2304733434996022E-3</v>
      </c>
      <c r="AV54" s="9">
        <f t="shared" si="32"/>
        <v>8.1535857642141227</v>
      </c>
      <c r="AY54" s="7">
        <f t="shared" si="33"/>
        <v>1093029.3913118574</v>
      </c>
      <c r="AZ54" s="7">
        <f t="shared" si="34"/>
        <v>1.0930293913118574</v>
      </c>
      <c r="BA54" s="7">
        <f t="shared" si="35"/>
        <v>-26.07974579818347</v>
      </c>
      <c r="BB54" s="7">
        <f t="shared" si="36"/>
        <v>26.07974579818347</v>
      </c>
      <c r="BD54" s="7">
        <f t="shared" si="37"/>
        <v>29203075.340393133</v>
      </c>
      <c r="BE54" s="7">
        <f t="shared" si="38"/>
        <v>0.2445865354233451</v>
      </c>
      <c r="BF54" s="7">
        <f t="shared" si="39"/>
        <v>2.6844394785838287E-2</v>
      </c>
      <c r="BG54" s="7">
        <f t="shared" si="40"/>
        <v>1.0064713826450222</v>
      </c>
      <c r="BH54" s="7">
        <f t="shared" si="41"/>
        <v>0.8</v>
      </c>
      <c r="BI54" s="7">
        <f t="shared" si="42"/>
        <v>1034167.6732669527</v>
      </c>
      <c r="BJ54" s="7">
        <f t="shared" si="43"/>
        <v>1188553.0526087899</v>
      </c>
      <c r="BK54" s="7">
        <f t="shared" si="44"/>
        <v>1.18855305260879</v>
      </c>
      <c r="BL54" s="7">
        <f t="shared" si="45"/>
        <v>-37.098295738157425</v>
      </c>
      <c r="BM54" s="7">
        <f t="shared" si="46"/>
        <v>37.098295738157425</v>
      </c>
      <c r="BO54" s="7">
        <f t="shared" si="47"/>
        <v>1352323.0042197972</v>
      </c>
      <c r="BP54" s="7">
        <f t="shared" si="48"/>
        <v>1.3523230042197971</v>
      </c>
      <c r="BQ54" s="7">
        <f t="shared" si="49"/>
        <v>-55.988980684620486</v>
      </c>
      <c r="BR54" s="7">
        <f t="shared" si="50"/>
        <v>55.988980684620486</v>
      </c>
      <c r="BT54" s="7">
        <f t="shared" si="51"/>
        <v>1334997.7298465434</v>
      </c>
      <c r="BU54" s="7">
        <f t="shared" si="52"/>
        <v>1.3349977298465434</v>
      </c>
      <c r="BV54" s="7">
        <f t="shared" si="53"/>
        <v>-53.990529219155391</v>
      </c>
      <c r="BW54" s="7">
        <f t="shared" si="54"/>
        <v>53.990529219155391</v>
      </c>
      <c r="BY54" s="7">
        <f t="shared" si="55"/>
        <v>0.25638568566701164</v>
      </c>
      <c r="BZ54" s="7">
        <f t="shared" si="56"/>
        <v>1630.8147696768651</v>
      </c>
      <c r="CA54" s="7">
        <f t="shared" si="57"/>
        <v>0.30795968991798645</v>
      </c>
      <c r="CB54" s="7">
        <f t="shared" si="58"/>
        <v>0.91158289850970942</v>
      </c>
      <c r="CC54" s="7">
        <f t="shared" si="59"/>
        <v>2.7044100821599186</v>
      </c>
      <c r="CD54" s="7">
        <f t="shared" si="60"/>
        <v>8343735.8115408961</v>
      </c>
      <c r="CE54" s="7">
        <f t="shared" si="61"/>
        <v>6334657.4283627495</v>
      </c>
      <c r="CF54" s="7">
        <f t="shared" si="62"/>
        <v>6.3346574283627497</v>
      </c>
      <c r="CG54" s="7">
        <f t="shared" si="63"/>
        <v>-630.6958116908288</v>
      </c>
      <c r="CH54" s="7">
        <f t="shared" si="64"/>
        <v>630.6958116908288</v>
      </c>
      <c r="CJ54" s="7">
        <f t="shared" si="65"/>
        <v>1.5438134602341049</v>
      </c>
      <c r="CK54" s="7">
        <f t="shared" si="66"/>
        <v>7.9441638524897912E-2</v>
      </c>
      <c r="CL54" s="7">
        <f t="shared" si="67"/>
        <v>0.296879</v>
      </c>
      <c r="CM54" s="7">
        <f t="shared" si="68"/>
        <v>407.67928821070615</v>
      </c>
      <c r="CN54" s="7">
        <f t="shared" si="69"/>
        <v>122.03141940470623</v>
      </c>
      <c r="CO54" s="7">
        <f t="shared" si="70"/>
        <v>0.49045513699905513</v>
      </c>
      <c r="CP54" s="7">
        <f t="shared" si="71"/>
        <v>2.4870865193739773E-2</v>
      </c>
      <c r="CQ54" s="7">
        <f t="shared" si="72"/>
        <v>1.0248708651937397</v>
      </c>
      <c r="CR54" s="7">
        <f t="shared" si="73"/>
        <v>9.9354834253997808</v>
      </c>
      <c r="CS54" s="7">
        <f t="shared" si="74"/>
        <v>10.859775400853771</v>
      </c>
      <c r="CT54" s="7">
        <f t="shared" si="75"/>
        <v>-1152.6632246564695</v>
      </c>
      <c r="CU54" s="7">
        <f t="shared" si="76"/>
        <v>1152.6632246564695</v>
      </c>
      <c r="CW54" s="7">
        <f t="shared" si="77"/>
        <v>1.0780015490006256</v>
      </c>
      <c r="CX54" s="7">
        <f t="shared" si="78"/>
        <v>1.1782873769373932</v>
      </c>
      <c r="CY54" s="7">
        <f t="shared" si="79"/>
        <v>-35.914161268046897</v>
      </c>
      <c r="CZ54" s="7">
        <f t="shared" si="80"/>
        <v>35.914161268046897</v>
      </c>
      <c r="DB54" s="7">
        <f t="shared" si="81"/>
        <v>1.0845609416587152</v>
      </c>
      <c r="DC54" s="7">
        <f t="shared" si="82"/>
        <v>1.1854569859018402</v>
      </c>
      <c r="DD54" s="7">
        <f t="shared" si="83"/>
        <v>-36.741167826969296</v>
      </c>
      <c r="DE54" s="7">
        <f t="shared" si="84"/>
        <v>36.741167826969296</v>
      </c>
      <c r="DG54" s="7">
        <f t="shared" si="85"/>
        <v>8343735.8115408961</v>
      </c>
      <c r="DH54" s="7">
        <f t="shared" si="86"/>
        <v>3.952847075210475E-2</v>
      </c>
      <c r="DI54" s="7">
        <f t="shared" si="87"/>
        <v>329815.1169897833</v>
      </c>
      <c r="DJ54" s="7">
        <f t="shared" si="88"/>
        <v>0.32981511698978333</v>
      </c>
      <c r="DK54" s="7">
        <f t="shared" si="89"/>
        <v>61.956186685371776</v>
      </c>
      <c r="DL54" s="7">
        <f t="shared" si="90"/>
        <v>61.956186685371776</v>
      </c>
    </row>
    <row r="55" spans="1:116" s="14" customFormat="1" x14ac:dyDescent="0.3">
      <c r="A55" s="7">
        <v>54</v>
      </c>
      <c r="B55" s="14" t="s">
        <v>48</v>
      </c>
      <c r="C55" s="9">
        <v>0</v>
      </c>
      <c r="D55" s="14">
        <v>300</v>
      </c>
      <c r="E55" s="15">
        <v>300</v>
      </c>
      <c r="F55" s="9">
        <v>10</v>
      </c>
      <c r="G55" s="21">
        <f t="shared" si="25"/>
        <v>1.5915494309189535</v>
      </c>
      <c r="H55" s="14">
        <v>0.2</v>
      </c>
      <c r="I55" s="14">
        <f>0.01191565693204*10.6667*1000</f>
        <v>127.10073779699107</v>
      </c>
      <c r="J55" s="14">
        <v>23.29869498559</v>
      </c>
      <c r="K55" s="14">
        <f t="shared" si="91"/>
        <v>0.18330888859829705</v>
      </c>
      <c r="L55" s="14">
        <f t="shared" si="92"/>
        <v>3.9999999999999998E-6</v>
      </c>
      <c r="M55" s="14">
        <f t="shared" si="93"/>
        <v>2.4441185146439607E-6</v>
      </c>
      <c r="N55" s="14">
        <f t="shared" si="94"/>
        <v>2961.2813223755452</v>
      </c>
      <c r="O55" s="14">
        <f t="shared" si="95"/>
        <v>1.5400000000000002E-5</v>
      </c>
      <c r="P55" s="14">
        <f t="shared" si="96"/>
        <v>9.9999999999999995E-8</v>
      </c>
      <c r="Q55" s="14">
        <v>0.02</v>
      </c>
      <c r="R55" s="14">
        <f t="shared" si="97"/>
        <v>1.2987012987012987E-4</v>
      </c>
      <c r="S55" s="14">
        <f t="shared" si="98"/>
        <v>2.0979996816285031</v>
      </c>
      <c r="T55" s="9">
        <f t="shared" si="99"/>
        <v>2959.1833226939166</v>
      </c>
      <c r="U55" s="15">
        <f t="shared" si="100"/>
        <v>0.98639444089797224</v>
      </c>
      <c r="V55" s="17">
        <v>93.002827281029994</v>
      </c>
      <c r="W55" s="17">
        <v>93.002827281029994</v>
      </c>
      <c r="X55" s="14">
        <f t="shared" si="101"/>
        <v>93.002827281029994</v>
      </c>
      <c r="Y55" s="14">
        <v>99.4</v>
      </c>
      <c r="Z55" s="9">
        <f t="shared" si="102"/>
        <v>6.3971727189700118</v>
      </c>
      <c r="AA55" s="9">
        <f t="shared" si="103"/>
        <v>5.7699434543794004E-2</v>
      </c>
      <c r="AB55" s="9">
        <f t="shared" si="104"/>
        <v>965.40950795955428</v>
      </c>
      <c r="AC55" s="12">
        <v>0.99839999999999995</v>
      </c>
      <c r="AD55" s="12">
        <f t="shared" si="105"/>
        <v>2258180.3232856165</v>
      </c>
      <c r="AE55" s="12">
        <f t="shared" si="106"/>
        <v>0.59000762111999994</v>
      </c>
      <c r="AF55" s="12">
        <v>9.81</v>
      </c>
      <c r="AG55" s="14">
        <f t="shared" si="107"/>
        <v>986394.44089797221</v>
      </c>
      <c r="AH55" s="14">
        <f t="shared" si="108"/>
        <v>0.98639444089797224</v>
      </c>
      <c r="AI55" s="14">
        <f t="shared" si="109"/>
        <v>2.6457513110645908E-2</v>
      </c>
      <c r="AJ55" s="14">
        <f t="shared" si="110"/>
        <v>1.4143549766589715E-2</v>
      </c>
      <c r="AK55" s="14">
        <f t="shared" si="111"/>
        <v>3.0000666659259424E-2</v>
      </c>
      <c r="AL55" s="14">
        <f t="shared" si="28"/>
        <v>1.282312773167364</v>
      </c>
      <c r="AM55" s="14">
        <f t="shared" si="29"/>
        <v>0.69047610862858055</v>
      </c>
      <c r="AN55" s="14">
        <f t="shared" si="30"/>
        <v>0.98639444089797235</v>
      </c>
      <c r="AO55" s="9">
        <f t="shared" si="112"/>
        <v>4294.2790690003712</v>
      </c>
      <c r="AP55" s="9">
        <f t="shared" si="113"/>
        <v>0.67701096119561499</v>
      </c>
      <c r="AQ55" s="9">
        <f t="shared" si="21"/>
        <v>30</v>
      </c>
      <c r="AR55" s="9">
        <f t="shared" si="114"/>
        <v>2.3235120787541328E-4</v>
      </c>
      <c r="AS55" s="12">
        <f t="shared" si="115"/>
        <v>1.2798654923651744E-5</v>
      </c>
      <c r="AT55" s="9">
        <f t="shared" si="116"/>
        <v>0.67851663803684836</v>
      </c>
      <c r="AU55" s="9">
        <f t="shared" si="117"/>
        <v>1.2165213125178105E-2</v>
      </c>
      <c r="AV55" s="9">
        <f t="shared" si="32"/>
        <v>4.0501560948209914</v>
      </c>
      <c r="AW55" s="13"/>
      <c r="AX55" s="13"/>
      <c r="AY55" s="14">
        <f t="shared" si="33"/>
        <v>1098450.2309131529</v>
      </c>
      <c r="AZ55" s="14">
        <f t="shared" si="34"/>
        <v>1.098450230913153</v>
      </c>
      <c r="BA55" s="14">
        <f t="shared" si="35"/>
        <v>-11.360140058491188</v>
      </c>
      <c r="BB55" s="14">
        <f t="shared" si="36"/>
        <v>11.360140058491188</v>
      </c>
      <c r="BD55" s="14">
        <f t="shared" si="37"/>
        <v>29347906.932794161</v>
      </c>
      <c r="BE55" s="14">
        <f t="shared" si="38"/>
        <v>0.17056776057814982</v>
      </c>
      <c r="BF55" s="14">
        <f t="shared" si="39"/>
        <v>6.2159265764545807E-2</v>
      </c>
      <c r="BG55" s="14">
        <f t="shared" si="40"/>
        <v>1.0244784186607374</v>
      </c>
      <c r="BH55" s="7">
        <f t="shared" si="41"/>
        <v>1.0683281572999748</v>
      </c>
      <c r="BI55" s="14">
        <f t="shared" si="42"/>
        <v>1134870.1243514968</v>
      </c>
      <c r="BJ55" s="14">
        <f t="shared" si="43"/>
        <v>1475425.269237835</v>
      </c>
      <c r="BK55" s="14">
        <f t="shared" si="44"/>
        <v>1.4754252692378349</v>
      </c>
      <c r="BL55" s="14">
        <f t="shared" si="45"/>
        <v>-49.577613991282178</v>
      </c>
      <c r="BM55" s="7">
        <f t="shared" si="46"/>
        <v>49.577613991282178</v>
      </c>
      <c r="BO55" s="14">
        <f t="shared" si="47"/>
        <v>1355035.1373424872</v>
      </c>
      <c r="BP55" s="14">
        <f t="shared" si="48"/>
        <v>1.3550351373424872</v>
      </c>
      <c r="BQ55" s="14">
        <f t="shared" si="49"/>
        <v>-37.372544000645405</v>
      </c>
      <c r="BR55" s="14">
        <f t="shared" si="50"/>
        <v>37.372544000645405</v>
      </c>
      <c r="BT55" s="14">
        <f t="shared" si="51"/>
        <v>1341618.6026420188</v>
      </c>
      <c r="BU55" s="14">
        <f t="shared" si="52"/>
        <v>1.3416186026420187</v>
      </c>
      <c r="BV55" s="14">
        <f t="shared" si="53"/>
        <v>-36.01238480426403</v>
      </c>
      <c r="BW55" s="14">
        <f t="shared" si="54"/>
        <v>36.01238480426403</v>
      </c>
      <c r="BY55" s="14">
        <f t="shared" si="55"/>
        <v>0.25655686327366767</v>
      </c>
      <c r="BZ55" s="14">
        <f t="shared" si="56"/>
        <v>1636.2661657267008</v>
      </c>
      <c r="CA55" s="14">
        <f t="shared" si="57"/>
        <v>0.30808818091897516</v>
      </c>
      <c r="CB55" s="14">
        <f t="shared" si="58"/>
        <v>0.91151731724790086</v>
      </c>
      <c r="CC55" s="14">
        <f t="shared" si="59"/>
        <v>2.7055382316657748</v>
      </c>
      <c r="CD55" s="14">
        <f t="shared" si="60"/>
        <v>8385116.2665126175</v>
      </c>
      <c r="CE55" s="14">
        <f t="shared" si="61"/>
        <v>6370928.4249613676</v>
      </c>
      <c r="CF55" s="14">
        <f t="shared" si="62"/>
        <v>6.3709284249613676</v>
      </c>
      <c r="CG55" s="14">
        <f t="shared" si="63"/>
        <v>-545.88040654016072</v>
      </c>
      <c r="CH55" s="14">
        <f t="shared" si="64"/>
        <v>545.88040654016072</v>
      </c>
      <c r="CJ55" s="14">
        <f t="shared" si="65"/>
        <v>1.5438134602341049</v>
      </c>
      <c r="CK55" s="14">
        <f t="shared" si="66"/>
        <v>7.9441638524897912E-2</v>
      </c>
      <c r="CL55" s="14">
        <f t="shared" si="67"/>
        <v>0.296879</v>
      </c>
      <c r="CM55" s="14">
        <f t="shared" si="68"/>
        <v>405.01560948209914</v>
      </c>
      <c r="CN55" s="14">
        <f t="shared" si="69"/>
        <v>121.24062912743611</v>
      </c>
      <c r="CO55" s="14">
        <f t="shared" si="70"/>
        <v>0.48924016956540556</v>
      </c>
      <c r="CP55" s="14">
        <f t="shared" si="71"/>
        <v>9.3892615973042243E-2</v>
      </c>
      <c r="CQ55" s="14">
        <f t="shared" si="72"/>
        <v>1.0938926159730422</v>
      </c>
      <c r="CR55" s="14">
        <f t="shared" si="73"/>
        <v>10.535886056558775</v>
      </c>
      <c r="CS55" s="14">
        <f t="shared" si="74"/>
        <v>11.573146471701655</v>
      </c>
      <c r="CT55" s="14">
        <f t="shared" si="75"/>
        <v>-1073.2777468986894</v>
      </c>
      <c r="CU55" s="14">
        <f t="shared" si="76"/>
        <v>1073.2777468986894</v>
      </c>
      <c r="CW55" s="14">
        <f t="shared" si="77"/>
        <v>1.2945209812144975</v>
      </c>
      <c r="CX55" s="14">
        <f t="shared" si="78"/>
        <v>1.4219668707369861</v>
      </c>
      <c r="CY55" s="14">
        <f t="shared" si="79"/>
        <v>-44.158037776701882</v>
      </c>
      <c r="CZ55" s="14">
        <f t="shared" si="80"/>
        <v>44.158037776701882</v>
      </c>
      <c r="DB55" s="14">
        <f t="shared" si="81"/>
        <v>1.3192348943083436</v>
      </c>
      <c r="DC55" s="14">
        <f t="shared" si="82"/>
        <v>1.4491138742816889</v>
      </c>
      <c r="DD55" s="14">
        <f t="shared" si="83"/>
        <v>-46.910182600225959</v>
      </c>
      <c r="DE55" s="14">
        <f t="shared" si="84"/>
        <v>46.910182600225959</v>
      </c>
      <c r="DG55" s="14">
        <f t="shared" si="85"/>
        <v>8385116.2665126175</v>
      </c>
      <c r="DH55" s="14">
        <f t="shared" si="86"/>
        <v>0.17230060940112779</v>
      </c>
      <c r="DI55" s="14">
        <f t="shared" si="87"/>
        <v>1444760.6426194333</v>
      </c>
      <c r="DJ55" s="14">
        <f t="shared" si="88"/>
        <v>1.4447606426194333</v>
      </c>
      <c r="DK55" s="14">
        <f t="shared" si="89"/>
        <v>-46.468854924221148</v>
      </c>
      <c r="DL55" s="14">
        <f t="shared" si="90"/>
        <v>46.468854924221148</v>
      </c>
    </row>
    <row r="56" spans="1:116" x14ac:dyDescent="0.3">
      <c r="A56" s="7">
        <v>55</v>
      </c>
      <c r="B56" s="8" t="s">
        <v>48</v>
      </c>
      <c r="C56" s="9">
        <v>0</v>
      </c>
      <c r="D56" s="7">
        <v>300</v>
      </c>
      <c r="E56" s="10">
        <v>300</v>
      </c>
      <c r="F56" s="9">
        <v>20</v>
      </c>
      <c r="G56" s="21">
        <f t="shared" si="25"/>
        <v>3.183098861837907</v>
      </c>
      <c r="H56" s="7">
        <v>0.2</v>
      </c>
      <c r="I56" s="16">
        <f>0.02116518068458*1000*10.6667</f>
        <v>225.76263280820947</v>
      </c>
      <c r="J56" s="7">
        <v>24.580572647530001</v>
      </c>
      <c r="K56" s="7">
        <f t="shared" si="91"/>
        <v>0.10887795000340805</v>
      </c>
      <c r="L56" s="7">
        <f t="shared" si="92"/>
        <v>7.9999999999999996E-6</v>
      </c>
      <c r="M56" s="7">
        <f t="shared" si="93"/>
        <v>2.9034120000908815E-6</v>
      </c>
      <c r="N56" s="7">
        <f t="shared" si="94"/>
        <v>5549.3747968398329</v>
      </c>
      <c r="O56" s="7">
        <f t="shared" si="95"/>
        <v>1.5400000000000002E-5</v>
      </c>
      <c r="P56" s="7">
        <f t="shared" si="96"/>
        <v>9.9999999999999995E-8</v>
      </c>
      <c r="Q56" s="7">
        <v>0.02</v>
      </c>
      <c r="R56" s="7">
        <f t="shared" si="97"/>
        <v>1.2987012987012987E-4</v>
      </c>
      <c r="S56" s="7">
        <f t="shared" si="98"/>
        <v>6.6193203081161585</v>
      </c>
      <c r="T56" s="9">
        <f t="shared" si="99"/>
        <v>5542.7554765317163</v>
      </c>
      <c r="U56" s="11">
        <f t="shared" si="100"/>
        <v>0.9237925794219527</v>
      </c>
      <c r="V56" s="7">
        <v>97.542341701330002</v>
      </c>
      <c r="W56" s="16">
        <v>97.542341701330002</v>
      </c>
      <c r="X56" s="7">
        <f t="shared" si="101"/>
        <v>97.542341701330002</v>
      </c>
      <c r="Y56" s="7">
        <v>99.4</v>
      </c>
      <c r="Z56" s="9">
        <f t="shared" si="102"/>
        <v>1.8576582986700032</v>
      </c>
      <c r="AA56" s="9">
        <f t="shared" si="103"/>
        <v>5.679153165973401E-2</v>
      </c>
      <c r="AB56" s="9">
        <f t="shared" si="104"/>
        <v>962.30976632907505</v>
      </c>
      <c r="AC56" s="12">
        <v>0.99839999999999995</v>
      </c>
      <c r="AD56" s="12">
        <f t="shared" si="105"/>
        <v>2258180.3232856165</v>
      </c>
      <c r="AE56" s="12">
        <f t="shared" si="106"/>
        <v>0.59000762111999994</v>
      </c>
      <c r="AF56" s="12">
        <v>9.81</v>
      </c>
      <c r="AG56" s="7">
        <f t="shared" si="107"/>
        <v>923792.57942195272</v>
      </c>
      <c r="AH56" s="7">
        <f t="shared" si="108"/>
        <v>0.9237925794219527</v>
      </c>
      <c r="AI56" s="7">
        <f t="shared" si="109"/>
        <v>2.6457513110645908E-2</v>
      </c>
      <c r="AJ56" s="7">
        <f t="shared" si="110"/>
        <v>1.4143549766589715E-2</v>
      </c>
      <c r="AK56" s="7">
        <f t="shared" si="111"/>
        <v>3.0000666659259424E-2</v>
      </c>
      <c r="AL56" s="7">
        <f t="shared" si="28"/>
        <v>1.2009303532485385</v>
      </c>
      <c r="AM56" s="7">
        <f t="shared" si="29"/>
        <v>0.64665480559536681</v>
      </c>
      <c r="AN56" s="7">
        <f t="shared" si="30"/>
        <v>0.92379257942195259</v>
      </c>
      <c r="AO56" s="9">
        <f t="shared" si="112"/>
        <v>4314.9253076708965</v>
      </c>
      <c r="AP56" s="9">
        <f t="shared" si="113"/>
        <v>0.67834806749713572</v>
      </c>
      <c r="AQ56" s="9">
        <f t="shared" si="21"/>
        <v>15</v>
      </c>
      <c r="AR56" s="9">
        <f t="shared" si="114"/>
        <v>2.2009027544071108E-4</v>
      </c>
      <c r="AS56" s="12">
        <f t="shared" si="115"/>
        <v>1.2798654923651744E-5</v>
      </c>
      <c r="AT56" s="9">
        <f t="shared" si="116"/>
        <v>0.71429639091043562</v>
      </c>
      <c r="AU56" s="9">
        <f t="shared" si="117"/>
        <v>3.5496088258679913E-3</v>
      </c>
      <c r="AV56" s="9">
        <f t="shared" si="32"/>
        <v>8.1516772803649467</v>
      </c>
      <c r="AY56" s="7">
        <f t="shared" si="33"/>
        <v>1093223.6219804443</v>
      </c>
      <c r="AZ56" s="7">
        <f t="shared" si="34"/>
        <v>1.0932236219804443</v>
      </c>
      <c r="BA56" s="7">
        <f t="shared" si="35"/>
        <v>-18.34081008363481</v>
      </c>
      <c r="BB56" s="7">
        <f t="shared" si="36"/>
        <v>18.34081008363481</v>
      </c>
      <c r="BD56" s="7">
        <f t="shared" si="37"/>
        <v>29208264.709401183</v>
      </c>
      <c r="BE56" s="7">
        <f t="shared" si="38"/>
        <v>0.2445865354233451</v>
      </c>
      <c r="BF56" s="7">
        <f t="shared" si="39"/>
        <v>2.68519367860682E-2</v>
      </c>
      <c r="BG56" s="7">
        <f t="shared" si="40"/>
        <v>1.0071118173745526</v>
      </c>
      <c r="BH56" s="7">
        <f t="shared" si="41"/>
        <v>1.0683281572999748</v>
      </c>
      <c r="BI56" s="7">
        <f t="shared" si="42"/>
        <v>1037605.7875091825</v>
      </c>
      <c r="BJ56" s="7">
        <f t="shared" si="43"/>
        <v>1243999.415079688</v>
      </c>
      <c r="BK56" s="7">
        <f t="shared" si="44"/>
        <v>1.243999415079688</v>
      </c>
      <c r="BL56" s="7">
        <f t="shared" si="45"/>
        <v>-34.662200453926488</v>
      </c>
      <c r="BM56" s="7">
        <f>ABS(BL56)</f>
        <v>34.662200453926488</v>
      </c>
      <c r="BO56" s="7">
        <f t="shared" si="47"/>
        <v>1352421.4079741186</v>
      </c>
      <c r="BP56" s="7">
        <f t="shared" si="48"/>
        <v>1.3524214079741186</v>
      </c>
      <c r="BQ56" s="7">
        <f t="shared" si="49"/>
        <v>-46.398817018033746</v>
      </c>
      <c r="BR56" s="7">
        <f t="shared" si="50"/>
        <v>46.398817018033746</v>
      </c>
      <c r="BT56" s="7">
        <f t="shared" si="51"/>
        <v>1335234.958144054</v>
      </c>
      <c r="BU56" s="7">
        <f t="shared" si="52"/>
        <v>1.3352349581440541</v>
      </c>
      <c r="BV56" s="7">
        <f t="shared" si="53"/>
        <v>-44.538393995279158</v>
      </c>
      <c r="BW56" s="7">
        <f t="shared" si="54"/>
        <v>44.538393995279158</v>
      </c>
      <c r="BY56" s="7">
        <f t="shared" si="55"/>
        <v>0.25639190046253318</v>
      </c>
      <c r="BZ56" s="7">
        <f t="shared" si="56"/>
        <v>1631.0124342162585</v>
      </c>
      <c r="CA56" s="7">
        <f t="shared" si="57"/>
        <v>0.30796435549096429</v>
      </c>
      <c r="CB56" s="7">
        <f t="shared" si="58"/>
        <v>0.91158051768982318</v>
      </c>
      <c r="CC56" s="7">
        <f t="shared" si="59"/>
        <v>2.7044510458255542</v>
      </c>
      <c r="CD56" s="7">
        <f t="shared" si="60"/>
        <v>8345218.4884003382</v>
      </c>
      <c r="CE56" s="7">
        <f t="shared" si="61"/>
        <v>6335958.5015192041</v>
      </c>
      <c r="CF56" s="7">
        <f t="shared" si="62"/>
        <v>6.3359585015192037</v>
      </c>
      <c r="CG56" s="7">
        <f t="shared" si="63"/>
        <v>-585.86375801847419</v>
      </c>
      <c r="CH56" s="7">
        <f t="shared" si="64"/>
        <v>585.86375801847419</v>
      </c>
      <c r="CJ56" s="7">
        <f t="shared" si="65"/>
        <v>1.5438134602341049</v>
      </c>
      <c r="CK56" s="7">
        <f t="shared" si="66"/>
        <v>7.9441638524897912E-2</v>
      </c>
      <c r="CL56" s="7">
        <f t="shared" si="67"/>
        <v>0.296879</v>
      </c>
      <c r="CM56" s="7">
        <f t="shared" si="68"/>
        <v>407.58386401824731</v>
      </c>
      <c r="CN56" s="7">
        <f t="shared" si="69"/>
        <v>122.00308996587324</v>
      </c>
      <c r="CO56" s="7">
        <f t="shared" si="70"/>
        <v>0.49040808051664664</v>
      </c>
      <c r="CP56" s="7">
        <f t="shared" si="71"/>
        <v>2.7330319215197272E-2</v>
      </c>
      <c r="CQ56" s="7">
        <f t="shared" si="72"/>
        <v>1.0273303192151972</v>
      </c>
      <c r="CR56" s="7">
        <f t="shared" si="73"/>
        <v>9.9570142522796861</v>
      </c>
      <c r="CS56" s="7">
        <f t="shared" si="74"/>
        <v>10.885243184988104</v>
      </c>
      <c r="CT56" s="7">
        <f t="shared" si="75"/>
        <v>-1078.3211326290755</v>
      </c>
      <c r="CU56" s="7">
        <f t="shared" si="76"/>
        <v>1078.3211326290755</v>
      </c>
      <c r="CW56" s="7">
        <f t="shared" si="77"/>
        <v>1.0857155605769382</v>
      </c>
      <c r="CX56" s="7">
        <f t="shared" si="78"/>
        <v>1.1869298975744489</v>
      </c>
      <c r="CY56" s="7">
        <f t="shared" si="79"/>
        <v>-28.484458959082549</v>
      </c>
      <c r="CZ56" s="7">
        <f t="shared" si="80"/>
        <v>28.484458959082549</v>
      </c>
      <c r="DB56" s="7">
        <f t="shared" si="81"/>
        <v>1.0929230853316707</v>
      </c>
      <c r="DC56" s="7">
        <f t="shared" si="82"/>
        <v>1.1948093338923313</v>
      </c>
      <c r="DD56" s="7">
        <f t="shared" si="83"/>
        <v>-29.337403277255458</v>
      </c>
      <c r="DE56" s="7">
        <f t="shared" si="84"/>
        <v>29.337403277255458</v>
      </c>
      <c r="DG56" s="7">
        <f t="shared" si="85"/>
        <v>8345218.4884003382</v>
      </c>
      <c r="DH56" s="7">
        <f t="shared" si="86"/>
        <v>0.17230060940112779</v>
      </c>
      <c r="DI56" s="7">
        <f t="shared" si="87"/>
        <v>1437886.2311369367</v>
      </c>
      <c r="DJ56" s="7">
        <f t="shared" si="88"/>
        <v>1.4378862311369367</v>
      </c>
      <c r="DK56" s="7">
        <f t="shared" si="89"/>
        <v>-55.650333545293172</v>
      </c>
      <c r="DL56" s="7">
        <f t="shared" si="90"/>
        <v>55.650333545293172</v>
      </c>
    </row>
    <row r="57" spans="1:116" x14ac:dyDescent="0.3">
      <c r="G57" s="21">
        <f t="shared" si="25"/>
        <v>0</v>
      </c>
      <c r="AL57" s="7">
        <f>MAX(AL2:AL56)</f>
        <v>8.0516477325223246</v>
      </c>
      <c r="AN57" s="7">
        <f t="shared" si="30"/>
        <v>4.0258238662611623</v>
      </c>
      <c r="BA57" s="7">
        <f>AVERAGE(BA2:BA56)</f>
        <v>39.382007044316566</v>
      </c>
      <c r="BB57" s="7">
        <f>AVERAGE(BB2:BB56)</f>
        <v>44.205064563051863</v>
      </c>
      <c r="BL57" s="7">
        <f>AVERAGE(BL2:BL56)</f>
        <v>-39.449380684187432</v>
      </c>
      <c r="BM57" s="7">
        <f>AVERAGE(BM2:BM56)</f>
        <v>42.793467287880048</v>
      </c>
      <c r="BQ57" s="7">
        <f>AVERAGE(BQ2:BQ56)</f>
        <v>26.207488346774277</v>
      </c>
      <c r="BR57" s="7">
        <f>AVERAGE(BR2:BR56)</f>
        <v>43.712929057775206</v>
      </c>
      <c r="BV57" s="7">
        <f>AVERAGE(BV2:BV56)</f>
        <v>25.962756695348464</v>
      </c>
      <c r="BW57" s="7">
        <f>AVERAGE(BW2:BW56)</f>
        <v>42.852869874925332</v>
      </c>
      <c r="CG57" s="7">
        <f>AVERAGE(CG2:CG56)</f>
        <v>-252.37526531544592</v>
      </c>
      <c r="CH57" s="7">
        <f>AVERAGE(CH2:CH56)</f>
        <v>252.37526531544592</v>
      </c>
      <c r="CT57" s="7">
        <f>AVERAGE(CT2:CT56)</f>
        <v>-696.88578828005495</v>
      </c>
      <c r="CU57" s="7">
        <f>AVERAGE(CU2:CU56)</f>
        <v>696.88578828005495</v>
      </c>
      <c r="CY57" s="7">
        <f>AVERAGE(CY2:CY56)</f>
        <v>-40.084758055840751</v>
      </c>
      <c r="CZ57" s="7">
        <f>AVERAGE(CZ2:CZ56)</f>
        <v>50.195868084026586</v>
      </c>
      <c r="DD57" s="7">
        <f>AVERAGE(DD2:DD56)</f>
        <v>-46.623198802639102</v>
      </c>
      <c r="DE57" s="7">
        <f>AVERAGE(DE2:DE56)</f>
        <v>55.813581054321695</v>
      </c>
      <c r="DK57" s="7">
        <f>AVERAGE(DK2:DK56)</f>
        <v>49.733039570723733</v>
      </c>
      <c r="DL57" s="7">
        <f>AVERAGE(DL2:DL56)</f>
        <v>56.923587454717826</v>
      </c>
    </row>
    <row r="58" spans="1:116" s="13" customFormat="1" x14ac:dyDescent="0.3">
      <c r="E58" s="19"/>
      <c r="F58" s="9"/>
      <c r="G58" s="21">
        <f t="shared" si="25"/>
        <v>0</v>
      </c>
      <c r="U58" s="19"/>
      <c r="BA58" s="13">
        <f>MAX(BA2:BA56)</f>
        <v>81.099142940751022</v>
      </c>
      <c r="BL58" s="13">
        <f>MAX(BL2:BL56)</f>
        <v>29.231289928458406</v>
      </c>
      <c r="BQ58" s="13">
        <f>MAX(BQ2:BQ56)</f>
        <v>77.682466266153526</v>
      </c>
      <c r="BV58" s="13">
        <f>MAX(BV2:BV56)</f>
        <v>76.914983744428739</v>
      </c>
      <c r="CG58" s="13">
        <f>MAX(CG2:CG56)</f>
        <v>-10.45577472877525</v>
      </c>
      <c r="CT58" s="13">
        <f>MAX(CT2:CT56)</f>
        <v>-259.66135953845554</v>
      </c>
      <c r="CY58" s="13">
        <f>MAX(CY2:CY56)</f>
        <v>50.657248698882682</v>
      </c>
      <c r="DD58" s="13">
        <f>MAX(DD2:DD56)</f>
        <v>49.983765549058241</v>
      </c>
      <c r="DK58" s="13">
        <f>MAX(DK2:DK56)</f>
        <v>92.958592412398161</v>
      </c>
    </row>
    <row r="59" spans="1:116" s="13" customFormat="1" x14ac:dyDescent="0.3">
      <c r="E59" s="19"/>
      <c r="F59" s="9"/>
      <c r="G59" s="21">
        <f t="shared" si="25"/>
        <v>0</v>
      </c>
      <c r="U59" s="19"/>
      <c r="BA59" s="13">
        <f>MIN(BA2:BA56)</f>
        <v>-26.07974579818347</v>
      </c>
      <c r="BL59" s="13">
        <f>MIN(BL2:BL56)</f>
        <v>-295.20947301260287</v>
      </c>
      <c r="BQ59" s="13">
        <f>MIN(BQ2:BQ56)</f>
        <v>-55.988980684620486</v>
      </c>
      <c r="BV59" s="13">
        <f>MIN(BV2:BV56)</f>
        <v>-53.990529219155391</v>
      </c>
      <c r="CG59" s="13">
        <f>MIN(CG2:CG56)</f>
        <v>-630.6958116908288</v>
      </c>
      <c r="CT59" s="13">
        <f>MIN(CT2:CT56)</f>
        <v>-1791.3451157656259</v>
      </c>
      <c r="CY59" s="13">
        <f>MIN(CY2:CY56)</f>
        <v>-351.4002877971048</v>
      </c>
      <c r="DD59" s="13">
        <f>MIN(DD2:DD56)</f>
        <v>-379.98885046831043</v>
      </c>
      <c r="DK59" s="13">
        <f>MIN(DK2:DK56)</f>
        <v>-55.650333545293172</v>
      </c>
    </row>
    <row r="60" spans="1:116" s="13" customFormat="1" x14ac:dyDescent="0.3">
      <c r="E60" s="19"/>
      <c r="F60" s="9"/>
      <c r="G60" s="21">
        <f t="shared" si="25"/>
        <v>0</v>
      </c>
      <c r="U60" s="19"/>
    </row>
    <row r="61" spans="1:116" s="13" customFormat="1" x14ac:dyDescent="0.3">
      <c r="E61" s="19"/>
      <c r="F61" s="9"/>
      <c r="G61" s="21">
        <f t="shared" si="25"/>
        <v>0</v>
      </c>
      <c r="U61" s="19"/>
    </row>
    <row r="62" spans="1:116" s="13" customFormat="1" x14ac:dyDescent="0.3">
      <c r="E62" s="19"/>
      <c r="F62" s="9"/>
      <c r="G62" s="21">
        <f t="shared" si="25"/>
        <v>0</v>
      </c>
      <c r="U62" s="19"/>
    </row>
    <row r="63" spans="1:116" s="13" customFormat="1" x14ac:dyDescent="0.3">
      <c r="E63" s="19"/>
      <c r="F63" s="9"/>
      <c r="G63" s="21">
        <f t="shared" si="25"/>
        <v>0</v>
      </c>
      <c r="U63" s="19"/>
    </row>
    <row r="64" spans="1:116" s="13" customFormat="1" x14ac:dyDescent="0.3">
      <c r="E64" s="19"/>
      <c r="F64" s="9"/>
      <c r="G64" s="21">
        <f t="shared" si="25"/>
        <v>0</v>
      </c>
      <c r="U64" s="19"/>
    </row>
    <row r="65" spans="5:21" s="13" customFormat="1" x14ac:dyDescent="0.3">
      <c r="E65" s="19"/>
      <c r="F65" s="9"/>
      <c r="G65" s="21">
        <f t="shared" si="25"/>
        <v>0</v>
      </c>
      <c r="U65" s="19"/>
    </row>
    <row r="66" spans="5:21" s="13" customFormat="1" x14ac:dyDescent="0.3">
      <c r="E66" s="19"/>
      <c r="F66" s="9"/>
      <c r="G66" s="21">
        <f t="shared" si="25"/>
        <v>0</v>
      </c>
      <c r="U66" s="19"/>
    </row>
    <row r="67" spans="5:21" s="13" customFormat="1" x14ac:dyDescent="0.3">
      <c r="E67" s="19"/>
      <c r="F67" s="9"/>
      <c r="G67" s="21">
        <f t="shared" ref="G67:G130" si="118">F67/(2*PI())</f>
        <v>0</v>
      </c>
      <c r="U67" s="19"/>
    </row>
    <row r="68" spans="5:21" s="13" customFormat="1" x14ac:dyDescent="0.3">
      <c r="E68" s="19"/>
      <c r="F68" s="9"/>
      <c r="G68" s="21">
        <f t="shared" si="118"/>
        <v>0</v>
      </c>
      <c r="U68" s="19"/>
    </row>
    <row r="69" spans="5:21" s="13" customFormat="1" x14ac:dyDescent="0.3">
      <c r="E69" s="19"/>
      <c r="F69" s="9"/>
      <c r="G69" s="21">
        <f t="shared" si="118"/>
        <v>0</v>
      </c>
      <c r="U69" s="19"/>
    </row>
    <row r="70" spans="5:21" s="13" customFormat="1" x14ac:dyDescent="0.3">
      <c r="E70" s="19"/>
      <c r="F70" s="9"/>
      <c r="G70" s="21">
        <f t="shared" si="118"/>
        <v>0</v>
      </c>
      <c r="U70" s="19"/>
    </row>
    <row r="71" spans="5:21" s="13" customFormat="1" x14ac:dyDescent="0.3">
      <c r="E71" s="19"/>
      <c r="F71" s="9"/>
      <c r="G71" s="21">
        <f t="shared" si="118"/>
        <v>0</v>
      </c>
      <c r="U71" s="19"/>
    </row>
    <row r="72" spans="5:21" s="13" customFormat="1" x14ac:dyDescent="0.3">
      <c r="E72" s="19"/>
      <c r="F72" s="9"/>
      <c r="G72" s="21">
        <f t="shared" si="118"/>
        <v>0</v>
      </c>
      <c r="U72" s="19"/>
    </row>
    <row r="73" spans="5:21" s="13" customFormat="1" x14ac:dyDescent="0.3">
      <c r="E73" s="19"/>
      <c r="F73" s="9"/>
      <c r="G73" s="21">
        <f t="shared" si="118"/>
        <v>0</v>
      </c>
      <c r="U73" s="19"/>
    </row>
    <row r="74" spans="5:21" s="13" customFormat="1" x14ac:dyDescent="0.3">
      <c r="E74" s="19"/>
      <c r="F74" s="9"/>
      <c r="G74" s="21">
        <f t="shared" si="118"/>
        <v>0</v>
      </c>
      <c r="U74" s="19"/>
    </row>
    <row r="75" spans="5:21" s="13" customFormat="1" x14ac:dyDescent="0.3">
      <c r="E75" s="19"/>
      <c r="F75" s="9"/>
      <c r="G75" s="21">
        <f t="shared" si="118"/>
        <v>0</v>
      </c>
      <c r="U75" s="19"/>
    </row>
    <row r="76" spans="5:21" s="13" customFormat="1" x14ac:dyDescent="0.3">
      <c r="E76" s="19"/>
      <c r="F76" s="9"/>
      <c r="G76" s="21">
        <f t="shared" si="118"/>
        <v>0</v>
      </c>
      <c r="U76" s="19"/>
    </row>
    <row r="77" spans="5:21" s="13" customFormat="1" x14ac:dyDescent="0.3">
      <c r="E77" s="19"/>
      <c r="F77" s="9"/>
      <c r="G77" s="21">
        <f t="shared" si="118"/>
        <v>0</v>
      </c>
      <c r="U77" s="19"/>
    </row>
    <row r="78" spans="5:21" s="13" customFormat="1" x14ac:dyDescent="0.3">
      <c r="E78" s="19"/>
      <c r="F78" s="9"/>
      <c r="G78" s="21">
        <f t="shared" si="118"/>
        <v>0</v>
      </c>
      <c r="U78" s="19"/>
    </row>
    <row r="79" spans="5:21" s="13" customFormat="1" x14ac:dyDescent="0.3">
      <c r="E79" s="19"/>
      <c r="F79" s="9"/>
      <c r="G79" s="21">
        <f t="shared" si="118"/>
        <v>0</v>
      </c>
      <c r="U79" s="19"/>
    </row>
    <row r="80" spans="5:21" s="13" customFormat="1" x14ac:dyDescent="0.3">
      <c r="E80" s="19"/>
      <c r="F80" s="9"/>
      <c r="G80" s="21">
        <f t="shared" si="118"/>
        <v>0</v>
      </c>
      <c r="U80" s="19"/>
    </row>
    <row r="81" spans="5:21" s="13" customFormat="1" x14ac:dyDescent="0.3">
      <c r="E81" s="19"/>
      <c r="F81" s="9"/>
      <c r="G81" s="21">
        <f t="shared" si="118"/>
        <v>0</v>
      </c>
      <c r="U81" s="19"/>
    </row>
    <row r="82" spans="5:21" s="13" customFormat="1" x14ac:dyDescent="0.3">
      <c r="E82" s="19"/>
      <c r="F82" s="9"/>
      <c r="G82" s="21">
        <f t="shared" si="118"/>
        <v>0</v>
      </c>
      <c r="U82" s="19"/>
    </row>
    <row r="83" spans="5:21" s="13" customFormat="1" x14ac:dyDescent="0.3">
      <c r="E83" s="19"/>
      <c r="F83" s="9"/>
      <c r="G83" s="21">
        <f t="shared" si="118"/>
        <v>0</v>
      </c>
      <c r="U83" s="19"/>
    </row>
    <row r="84" spans="5:21" s="13" customFormat="1" x14ac:dyDescent="0.3">
      <c r="E84" s="19"/>
      <c r="F84" s="9"/>
      <c r="G84" s="21">
        <f t="shared" si="118"/>
        <v>0</v>
      </c>
      <c r="U84" s="19"/>
    </row>
    <row r="85" spans="5:21" s="13" customFormat="1" x14ac:dyDescent="0.3">
      <c r="E85" s="19"/>
      <c r="F85" s="9"/>
      <c r="G85" s="21">
        <f t="shared" si="118"/>
        <v>0</v>
      </c>
      <c r="U85" s="19"/>
    </row>
    <row r="86" spans="5:21" s="13" customFormat="1" x14ac:dyDescent="0.3">
      <c r="E86" s="19"/>
      <c r="F86" s="9"/>
      <c r="G86" s="21">
        <f t="shared" si="118"/>
        <v>0</v>
      </c>
      <c r="U86" s="19"/>
    </row>
    <row r="87" spans="5:21" s="13" customFormat="1" x14ac:dyDescent="0.3">
      <c r="E87" s="19"/>
      <c r="F87" s="9"/>
      <c r="G87" s="21">
        <f t="shared" si="118"/>
        <v>0</v>
      </c>
      <c r="U87" s="19"/>
    </row>
    <row r="88" spans="5:21" s="13" customFormat="1" x14ac:dyDescent="0.3">
      <c r="E88" s="19"/>
      <c r="F88" s="9"/>
      <c r="G88" s="21">
        <f t="shared" si="118"/>
        <v>0</v>
      </c>
      <c r="U88" s="19"/>
    </row>
    <row r="89" spans="5:21" s="13" customFormat="1" x14ac:dyDescent="0.3">
      <c r="E89" s="19"/>
      <c r="F89" s="9"/>
      <c r="G89" s="21">
        <f t="shared" si="118"/>
        <v>0</v>
      </c>
      <c r="U89" s="19"/>
    </row>
    <row r="90" spans="5:21" s="13" customFormat="1" x14ac:dyDescent="0.3">
      <c r="E90" s="19"/>
      <c r="F90" s="9"/>
      <c r="G90" s="21">
        <f t="shared" si="118"/>
        <v>0</v>
      </c>
      <c r="U90" s="19"/>
    </row>
    <row r="91" spans="5:21" s="13" customFormat="1" x14ac:dyDescent="0.3">
      <c r="E91" s="19"/>
      <c r="F91" s="9"/>
      <c r="G91" s="21">
        <f t="shared" si="118"/>
        <v>0</v>
      </c>
      <c r="U91" s="19"/>
    </row>
    <row r="92" spans="5:21" s="13" customFormat="1" x14ac:dyDescent="0.3">
      <c r="E92" s="19"/>
      <c r="F92" s="9"/>
      <c r="G92" s="21">
        <f t="shared" si="118"/>
        <v>0</v>
      </c>
      <c r="U92" s="19"/>
    </row>
    <row r="93" spans="5:21" s="13" customFormat="1" x14ac:dyDescent="0.3">
      <c r="E93" s="19"/>
      <c r="F93" s="9"/>
      <c r="G93" s="21">
        <f t="shared" si="118"/>
        <v>0</v>
      </c>
      <c r="U93" s="19"/>
    </row>
    <row r="94" spans="5:21" s="13" customFormat="1" x14ac:dyDescent="0.3">
      <c r="E94" s="19"/>
      <c r="F94" s="9"/>
      <c r="G94" s="21">
        <f t="shared" si="118"/>
        <v>0</v>
      </c>
      <c r="U94" s="19"/>
    </row>
    <row r="95" spans="5:21" s="13" customFormat="1" x14ac:dyDescent="0.3">
      <c r="E95" s="19"/>
      <c r="F95" s="9"/>
      <c r="G95" s="21">
        <f t="shared" si="118"/>
        <v>0</v>
      </c>
      <c r="U95" s="19"/>
    </row>
    <row r="96" spans="5:21" s="13" customFormat="1" x14ac:dyDescent="0.3">
      <c r="E96" s="19"/>
      <c r="F96" s="9"/>
      <c r="G96" s="21">
        <f t="shared" si="118"/>
        <v>0</v>
      </c>
      <c r="U96" s="19"/>
    </row>
    <row r="97" spans="5:21" s="13" customFormat="1" x14ac:dyDescent="0.3">
      <c r="E97" s="19"/>
      <c r="F97" s="9"/>
      <c r="G97" s="21">
        <f t="shared" si="118"/>
        <v>0</v>
      </c>
      <c r="U97" s="19"/>
    </row>
    <row r="98" spans="5:21" s="13" customFormat="1" x14ac:dyDescent="0.3">
      <c r="E98" s="19"/>
      <c r="F98" s="9"/>
      <c r="G98" s="21">
        <f t="shared" si="118"/>
        <v>0</v>
      </c>
      <c r="U98" s="19"/>
    </row>
    <row r="99" spans="5:21" s="13" customFormat="1" x14ac:dyDescent="0.3">
      <c r="E99" s="19"/>
      <c r="F99" s="9"/>
      <c r="G99" s="21">
        <f t="shared" si="118"/>
        <v>0</v>
      </c>
      <c r="U99" s="19"/>
    </row>
    <row r="100" spans="5:21" s="13" customFormat="1" x14ac:dyDescent="0.3">
      <c r="E100" s="19"/>
      <c r="F100" s="9"/>
      <c r="G100" s="21">
        <f t="shared" si="118"/>
        <v>0</v>
      </c>
      <c r="U100" s="19"/>
    </row>
    <row r="101" spans="5:21" s="13" customFormat="1" x14ac:dyDescent="0.3">
      <c r="E101" s="19"/>
      <c r="F101" s="9"/>
      <c r="G101" s="21">
        <f t="shared" si="118"/>
        <v>0</v>
      </c>
      <c r="U101" s="19"/>
    </row>
    <row r="102" spans="5:21" s="13" customFormat="1" x14ac:dyDescent="0.3">
      <c r="E102" s="19"/>
      <c r="F102" s="9"/>
      <c r="G102" s="21">
        <f t="shared" si="118"/>
        <v>0</v>
      </c>
      <c r="U102" s="19"/>
    </row>
    <row r="103" spans="5:21" s="13" customFormat="1" x14ac:dyDescent="0.3">
      <c r="E103" s="19"/>
      <c r="F103" s="9"/>
      <c r="G103" s="21">
        <f t="shared" si="118"/>
        <v>0</v>
      </c>
      <c r="U103" s="19"/>
    </row>
    <row r="104" spans="5:21" s="13" customFormat="1" x14ac:dyDescent="0.3">
      <c r="E104" s="19"/>
      <c r="F104" s="9"/>
      <c r="G104" s="21">
        <f t="shared" si="118"/>
        <v>0</v>
      </c>
      <c r="U104" s="19"/>
    </row>
    <row r="105" spans="5:21" s="13" customFormat="1" x14ac:dyDescent="0.3">
      <c r="E105" s="19"/>
      <c r="F105" s="9"/>
      <c r="G105" s="21">
        <f t="shared" si="118"/>
        <v>0</v>
      </c>
      <c r="U105" s="19"/>
    </row>
    <row r="106" spans="5:21" s="13" customFormat="1" x14ac:dyDescent="0.3">
      <c r="E106" s="19"/>
      <c r="F106" s="9"/>
      <c r="G106" s="21">
        <f t="shared" si="118"/>
        <v>0</v>
      </c>
      <c r="U106" s="19"/>
    </row>
    <row r="107" spans="5:21" s="13" customFormat="1" x14ac:dyDescent="0.3">
      <c r="E107" s="19"/>
      <c r="F107" s="9"/>
      <c r="G107" s="21">
        <f t="shared" si="118"/>
        <v>0</v>
      </c>
      <c r="U107" s="19"/>
    </row>
    <row r="108" spans="5:21" s="13" customFormat="1" x14ac:dyDescent="0.3">
      <c r="E108" s="19"/>
      <c r="F108" s="9"/>
      <c r="G108" s="21">
        <f t="shared" si="118"/>
        <v>0</v>
      </c>
      <c r="U108" s="19"/>
    </row>
    <row r="109" spans="5:21" s="13" customFormat="1" x14ac:dyDescent="0.3">
      <c r="E109" s="19"/>
      <c r="F109" s="9"/>
      <c r="G109" s="21">
        <f t="shared" si="118"/>
        <v>0</v>
      </c>
      <c r="U109" s="19"/>
    </row>
    <row r="110" spans="5:21" s="13" customFormat="1" x14ac:dyDescent="0.3">
      <c r="E110" s="19"/>
      <c r="F110" s="9"/>
      <c r="G110" s="21">
        <f t="shared" si="118"/>
        <v>0</v>
      </c>
      <c r="U110" s="19"/>
    </row>
    <row r="111" spans="5:21" s="13" customFormat="1" x14ac:dyDescent="0.3">
      <c r="E111" s="19"/>
      <c r="F111" s="9"/>
      <c r="G111" s="21">
        <f t="shared" si="118"/>
        <v>0</v>
      </c>
      <c r="U111" s="19"/>
    </row>
    <row r="112" spans="5:21" s="13" customFormat="1" x14ac:dyDescent="0.3">
      <c r="E112" s="19"/>
      <c r="F112" s="9"/>
      <c r="G112" s="21">
        <f t="shared" si="118"/>
        <v>0</v>
      </c>
      <c r="U112" s="19"/>
    </row>
    <row r="113" spans="5:21" s="13" customFormat="1" x14ac:dyDescent="0.3">
      <c r="E113" s="19"/>
      <c r="F113" s="9"/>
      <c r="G113" s="21">
        <f t="shared" si="118"/>
        <v>0</v>
      </c>
      <c r="U113" s="19"/>
    </row>
    <row r="114" spans="5:21" s="13" customFormat="1" x14ac:dyDescent="0.3">
      <c r="E114" s="19"/>
      <c r="F114" s="9"/>
      <c r="G114" s="21">
        <f t="shared" si="118"/>
        <v>0</v>
      </c>
      <c r="U114" s="19"/>
    </row>
    <row r="115" spans="5:21" s="13" customFormat="1" x14ac:dyDescent="0.3">
      <c r="E115" s="19"/>
      <c r="F115" s="9"/>
      <c r="G115" s="21">
        <f t="shared" si="118"/>
        <v>0</v>
      </c>
      <c r="U115" s="19"/>
    </row>
    <row r="116" spans="5:21" s="13" customFormat="1" x14ac:dyDescent="0.3">
      <c r="E116" s="19"/>
      <c r="F116" s="9"/>
      <c r="G116" s="21">
        <f t="shared" si="118"/>
        <v>0</v>
      </c>
      <c r="U116" s="19"/>
    </row>
    <row r="117" spans="5:21" s="13" customFormat="1" x14ac:dyDescent="0.3">
      <c r="E117" s="19"/>
      <c r="F117" s="9"/>
      <c r="G117" s="21">
        <f t="shared" si="118"/>
        <v>0</v>
      </c>
      <c r="U117" s="19"/>
    </row>
    <row r="118" spans="5:21" s="13" customFormat="1" x14ac:dyDescent="0.3">
      <c r="E118" s="19"/>
      <c r="F118" s="9"/>
      <c r="G118" s="21">
        <f t="shared" si="118"/>
        <v>0</v>
      </c>
      <c r="U118" s="19"/>
    </row>
    <row r="119" spans="5:21" s="13" customFormat="1" x14ac:dyDescent="0.3">
      <c r="E119" s="19"/>
      <c r="F119" s="9"/>
      <c r="G119" s="21">
        <f t="shared" si="118"/>
        <v>0</v>
      </c>
      <c r="U119" s="19"/>
    </row>
    <row r="120" spans="5:21" s="13" customFormat="1" x14ac:dyDescent="0.3">
      <c r="E120" s="19"/>
      <c r="F120" s="9"/>
      <c r="G120" s="21">
        <f t="shared" si="118"/>
        <v>0</v>
      </c>
      <c r="U120" s="19"/>
    </row>
    <row r="121" spans="5:21" s="13" customFormat="1" x14ac:dyDescent="0.3">
      <c r="E121" s="19"/>
      <c r="F121" s="9"/>
      <c r="G121" s="21">
        <f t="shared" si="118"/>
        <v>0</v>
      </c>
      <c r="U121" s="19"/>
    </row>
    <row r="122" spans="5:21" s="13" customFormat="1" x14ac:dyDescent="0.3">
      <c r="E122" s="19"/>
      <c r="F122" s="9"/>
      <c r="G122" s="21">
        <f t="shared" si="118"/>
        <v>0</v>
      </c>
      <c r="U122" s="19"/>
    </row>
    <row r="123" spans="5:21" s="13" customFormat="1" x14ac:dyDescent="0.3">
      <c r="E123" s="19"/>
      <c r="F123" s="9"/>
      <c r="G123" s="21">
        <f t="shared" si="118"/>
        <v>0</v>
      </c>
      <c r="U123" s="19"/>
    </row>
    <row r="124" spans="5:21" s="13" customFormat="1" x14ac:dyDescent="0.3">
      <c r="E124" s="19"/>
      <c r="F124" s="9"/>
      <c r="G124" s="21">
        <f t="shared" si="118"/>
        <v>0</v>
      </c>
      <c r="U124" s="19"/>
    </row>
    <row r="125" spans="5:21" s="13" customFormat="1" x14ac:dyDescent="0.3">
      <c r="E125" s="19"/>
      <c r="F125" s="9"/>
      <c r="G125" s="21">
        <f t="shared" si="118"/>
        <v>0</v>
      </c>
      <c r="U125" s="19"/>
    </row>
    <row r="126" spans="5:21" s="13" customFormat="1" x14ac:dyDescent="0.3">
      <c r="E126" s="19"/>
      <c r="F126" s="9"/>
      <c r="G126" s="21">
        <f t="shared" si="118"/>
        <v>0</v>
      </c>
      <c r="U126" s="19"/>
    </row>
    <row r="127" spans="5:21" s="13" customFormat="1" x14ac:dyDescent="0.3">
      <c r="E127" s="19"/>
      <c r="F127" s="9"/>
      <c r="G127" s="21">
        <f t="shared" si="118"/>
        <v>0</v>
      </c>
      <c r="U127" s="19"/>
    </row>
    <row r="128" spans="5:21" s="13" customFormat="1" x14ac:dyDescent="0.3">
      <c r="E128" s="19"/>
      <c r="F128" s="9"/>
      <c r="G128" s="21">
        <f t="shared" si="118"/>
        <v>0</v>
      </c>
      <c r="U128" s="19"/>
    </row>
    <row r="129" spans="5:21" s="13" customFormat="1" x14ac:dyDescent="0.3">
      <c r="E129" s="19"/>
      <c r="F129" s="9"/>
      <c r="G129" s="21">
        <f t="shared" si="118"/>
        <v>0</v>
      </c>
      <c r="U129" s="19"/>
    </row>
    <row r="130" spans="5:21" s="13" customFormat="1" x14ac:dyDescent="0.3">
      <c r="E130" s="19"/>
      <c r="F130" s="9"/>
      <c r="G130" s="21">
        <f t="shared" si="118"/>
        <v>0</v>
      </c>
      <c r="U130" s="19"/>
    </row>
    <row r="131" spans="5:21" s="13" customFormat="1" x14ac:dyDescent="0.3">
      <c r="E131" s="19"/>
      <c r="F131" s="9"/>
      <c r="G131" s="21">
        <f t="shared" ref="G131:G194" si="119">F131/(2*PI())</f>
        <v>0</v>
      </c>
      <c r="U131" s="19"/>
    </row>
    <row r="132" spans="5:21" s="13" customFormat="1" x14ac:dyDescent="0.3">
      <c r="E132" s="19"/>
      <c r="F132" s="9"/>
      <c r="G132" s="21">
        <f t="shared" si="119"/>
        <v>0</v>
      </c>
      <c r="U132" s="19"/>
    </row>
    <row r="133" spans="5:21" s="13" customFormat="1" x14ac:dyDescent="0.3">
      <c r="E133" s="19"/>
      <c r="F133" s="9"/>
      <c r="G133" s="21">
        <f t="shared" si="119"/>
        <v>0</v>
      </c>
      <c r="U133" s="19"/>
    </row>
    <row r="134" spans="5:21" s="13" customFormat="1" x14ac:dyDescent="0.3">
      <c r="E134" s="19"/>
      <c r="F134" s="9"/>
      <c r="G134" s="21">
        <f t="shared" si="119"/>
        <v>0</v>
      </c>
      <c r="U134" s="19"/>
    </row>
    <row r="135" spans="5:21" s="13" customFormat="1" x14ac:dyDescent="0.3">
      <c r="E135" s="19"/>
      <c r="F135" s="9"/>
      <c r="G135" s="21">
        <f t="shared" si="119"/>
        <v>0</v>
      </c>
      <c r="U135" s="19"/>
    </row>
    <row r="136" spans="5:21" s="13" customFormat="1" x14ac:dyDescent="0.3">
      <c r="E136" s="19"/>
      <c r="F136" s="9"/>
      <c r="G136" s="21">
        <f t="shared" si="119"/>
        <v>0</v>
      </c>
      <c r="U136" s="19"/>
    </row>
    <row r="137" spans="5:21" s="13" customFormat="1" x14ac:dyDescent="0.3">
      <c r="E137" s="19"/>
      <c r="F137" s="9"/>
      <c r="G137" s="21">
        <f t="shared" si="119"/>
        <v>0</v>
      </c>
      <c r="U137" s="19"/>
    </row>
    <row r="138" spans="5:21" s="13" customFormat="1" x14ac:dyDescent="0.3">
      <c r="E138" s="19"/>
      <c r="F138" s="9"/>
      <c r="G138" s="21">
        <f t="shared" si="119"/>
        <v>0</v>
      </c>
      <c r="U138" s="19"/>
    </row>
    <row r="139" spans="5:21" s="13" customFormat="1" x14ac:dyDescent="0.3">
      <c r="E139" s="19"/>
      <c r="F139" s="9"/>
      <c r="G139" s="21">
        <f t="shared" si="119"/>
        <v>0</v>
      </c>
      <c r="U139" s="19"/>
    </row>
    <row r="140" spans="5:21" s="13" customFormat="1" x14ac:dyDescent="0.3">
      <c r="E140" s="19"/>
      <c r="F140" s="9"/>
      <c r="G140" s="21">
        <f t="shared" si="119"/>
        <v>0</v>
      </c>
      <c r="U140" s="19"/>
    </row>
    <row r="141" spans="5:21" s="13" customFormat="1" x14ac:dyDescent="0.3">
      <c r="E141" s="19"/>
      <c r="F141" s="9"/>
      <c r="G141" s="21">
        <f t="shared" si="119"/>
        <v>0</v>
      </c>
      <c r="U141" s="19"/>
    </row>
    <row r="142" spans="5:21" s="13" customFormat="1" x14ac:dyDescent="0.3">
      <c r="E142" s="19"/>
      <c r="F142" s="9"/>
      <c r="G142" s="21">
        <f t="shared" si="119"/>
        <v>0</v>
      </c>
      <c r="U142" s="19"/>
    </row>
    <row r="143" spans="5:21" s="13" customFormat="1" x14ac:dyDescent="0.3">
      <c r="E143" s="19"/>
      <c r="F143" s="9"/>
      <c r="G143" s="21">
        <f t="shared" si="119"/>
        <v>0</v>
      </c>
      <c r="U143" s="19"/>
    </row>
    <row r="144" spans="5:21" s="13" customFormat="1" x14ac:dyDescent="0.3">
      <c r="E144" s="19"/>
      <c r="F144" s="9"/>
      <c r="G144" s="21">
        <f t="shared" si="119"/>
        <v>0</v>
      </c>
      <c r="U144" s="19"/>
    </row>
    <row r="145" spans="5:21" s="13" customFormat="1" x14ac:dyDescent="0.3">
      <c r="E145" s="19"/>
      <c r="F145" s="9"/>
      <c r="G145" s="21">
        <f t="shared" si="119"/>
        <v>0</v>
      </c>
      <c r="U145" s="19"/>
    </row>
    <row r="146" spans="5:21" s="13" customFormat="1" x14ac:dyDescent="0.3">
      <c r="E146" s="19"/>
      <c r="F146" s="9"/>
      <c r="G146" s="21">
        <f t="shared" si="119"/>
        <v>0</v>
      </c>
      <c r="U146" s="19"/>
    </row>
    <row r="147" spans="5:21" s="13" customFormat="1" x14ac:dyDescent="0.3">
      <c r="E147" s="19"/>
      <c r="F147" s="9"/>
      <c r="G147" s="21">
        <f t="shared" si="119"/>
        <v>0</v>
      </c>
      <c r="U147" s="19"/>
    </row>
    <row r="148" spans="5:21" s="13" customFormat="1" x14ac:dyDescent="0.3">
      <c r="E148" s="19"/>
      <c r="F148" s="9"/>
      <c r="G148" s="21">
        <f t="shared" si="119"/>
        <v>0</v>
      </c>
      <c r="U148" s="19"/>
    </row>
    <row r="149" spans="5:21" s="13" customFormat="1" x14ac:dyDescent="0.3">
      <c r="E149" s="19"/>
      <c r="F149" s="9"/>
      <c r="G149" s="21">
        <f t="shared" si="119"/>
        <v>0</v>
      </c>
      <c r="U149" s="19"/>
    </row>
    <row r="150" spans="5:21" s="13" customFormat="1" x14ac:dyDescent="0.3">
      <c r="E150" s="19"/>
      <c r="F150" s="9"/>
      <c r="G150" s="21">
        <f t="shared" si="119"/>
        <v>0</v>
      </c>
      <c r="U150" s="19"/>
    </row>
    <row r="151" spans="5:21" s="13" customFormat="1" x14ac:dyDescent="0.3">
      <c r="E151" s="19"/>
      <c r="F151" s="9"/>
      <c r="G151" s="21">
        <f t="shared" si="119"/>
        <v>0</v>
      </c>
      <c r="U151" s="19"/>
    </row>
    <row r="152" spans="5:21" s="13" customFormat="1" x14ac:dyDescent="0.3">
      <c r="E152" s="19"/>
      <c r="F152" s="9"/>
      <c r="G152" s="21">
        <f t="shared" si="119"/>
        <v>0</v>
      </c>
      <c r="U152" s="19"/>
    </row>
    <row r="153" spans="5:21" s="13" customFormat="1" x14ac:dyDescent="0.3">
      <c r="E153" s="19"/>
      <c r="F153" s="9"/>
      <c r="G153" s="21">
        <f t="shared" si="119"/>
        <v>0</v>
      </c>
      <c r="U153" s="19"/>
    </row>
    <row r="154" spans="5:21" s="13" customFormat="1" x14ac:dyDescent="0.3">
      <c r="E154" s="19"/>
      <c r="F154" s="9"/>
      <c r="G154" s="21">
        <f t="shared" si="119"/>
        <v>0</v>
      </c>
      <c r="U154" s="19"/>
    </row>
    <row r="155" spans="5:21" s="13" customFormat="1" x14ac:dyDescent="0.3">
      <c r="E155" s="19"/>
      <c r="F155" s="9"/>
      <c r="G155" s="21">
        <f t="shared" si="119"/>
        <v>0</v>
      </c>
      <c r="U155" s="19"/>
    </row>
    <row r="156" spans="5:21" s="13" customFormat="1" x14ac:dyDescent="0.3">
      <c r="E156" s="19"/>
      <c r="F156" s="9"/>
      <c r="G156" s="21">
        <f t="shared" si="119"/>
        <v>0</v>
      </c>
      <c r="U156" s="19"/>
    </row>
    <row r="157" spans="5:21" s="13" customFormat="1" x14ac:dyDescent="0.3">
      <c r="E157" s="19"/>
      <c r="F157" s="9"/>
      <c r="G157" s="21">
        <f t="shared" si="119"/>
        <v>0</v>
      </c>
      <c r="U157" s="19"/>
    </row>
    <row r="158" spans="5:21" s="13" customFormat="1" x14ac:dyDescent="0.3">
      <c r="E158" s="19"/>
      <c r="F158" s="9"/>
      <c r="G158" s="21">
        <f t="shared" si="119"/>
        <v>0</v>
      </c>
      <c r="U158" s="19"/>
    </row>
    <row r="159" spans="5:21" s="13" customFormat="1" x14ac:dyDescent="0.3">
      <c r="E159" s="19"/>
      <c r="F159" s="9"/>
      <c r="G159" s="21">
        <f t="shared" si="119"/>
        <v>0</v>
      </c>
      <c r="U159" s="19"/>
    </row>
    <row r="160" spans="5:21" s="13" customFormat="1" x14ac:dyDescent="0.3">
      <c r="E160" s="19"/>
      <c r="F160" s="9"/>
      <c r="G160" s="21">
        <f t="shared" si="119"/>
        <v>0</v>
      </c>
      <c r="U160" s="19"/>
    </row>
    <row r="161" spans="5:21" s="13" customFormat="1" x14ac:dyDescent="0.3">
      <c r="E161" s="19"/>
      <c r="F161" s="9"/>
      <c r="G161" s="21">
        <f t="shared" si="119"/>
        <v>0</v>
      </c>
      <c r="U161" s="19"/>
    </row>
    <row r="162" spans="5:21" s="13" customFormat="1" x14ac:dyDescent="0.3">
      <c r="E162" s="19"/>
      <c r="F162" s="9"/>
      <c r="G162" s="21">
        <f t="shared" si="119"/>
        <v>0</v>
      </c>
      <c r="U162" s="19"/>
    </row>
    <row r="163" spans="5:21" s="13" customFormat="1" x14ac:dyDescent="0.3">
      <c r="E163" s="19"/>
      <c r="F163" s="9"/>
      <c r="G163" s="21">
        <f t="shared" si="119"/>
        <v>0</v>
      </c>
      <c r="U163" s="19"/>
    </row>
    <row r="164" spans="5:21" s="13" customFormat="1" x14ac:dyDescent="0.3">
      <c r="E164" s="19"/>
      <c r="F164" s="9"/>
      <c r="G164" s="21">
        <f t="shared" si="119"/>
        <v>0</v>
      </c>
      <c r="U164" s="19"/>
    </row>
    <row r="165" spans="5:21" s="13" customFormat="1" x14ac:dyDescent="0.3">
      <c r="E165" s="19"/>
      <c r="F165" s="9"/>
      <c r="G165" s="21">
        <f t="shared" si="119"/>
        <v>0</v>
      </c>
      <c r="U165" s="19"/>
    </row>
    <row r="166" spans="5:21" s="13" customFormat="1" x14ac:dyDescent="0.3">
      <c r="E166" s="19"/>
      <c r="F166" s="9"/>
      <c r="G166" s="21">
        <f t="shared" si="119"/>
        <v>0</v>
      </c>
      <c r="U166" s="19"/>
    </row>
    <row r="167" spans="5:21" s="13" customFormat="1" x14ac:dyDescent="0.3">
      <c r="E167" s="19"/>
      <c r="F167" s="9"/>
      <c r="G167" s="21">
        <f t="shared" si="119"/>
        <v>0</v>
      </c>
      <c r="U167" s="19"/>
    </row>
    <row r="168" spans="5:21" s="13" customFormat="1" x14ac:dyDescent="0.3">
      <c r="E168" s="19"/>
      <c r="F168" s="9"/>
      <c r="G168" s="21">
        <f t="shared" si="119"/>
        <v>0</v>
      </c>
      <c r="U168" s="19"/>
    </row>
    <row r="169" spans="5:21" s="13" customFormat="1" x14ac:dyDescent="0.3">
      <c r="E169" s="19"/>
      <c r="F169" s="9"/>
      <c r="G169" s="21">
        <f t="shared" si="119"/>
        <v>0</v>
      </c>
      <c r="U169" s="19"/>
    </row>
    <row r="170" spans="5:21" s="13" customFormat="1" x14ac:dyDescent="0.3">
      <c r="E170" s="19"/>
      <c r="F170" s="9"/>
      <c r="G170" s="21">
        <f t="shared" si="119"/>
        <v>0</v>
      </c>
      <c r="U170" s="19"/>
    </row>
    <row r="171" spans="5:21" s="13" customFormat="1" x14ac:dyDescent="0.3">
      <c r="E171" s="19"/>
      <c r="F171" s="9"/>
      <c r="G171" s="21">
        <f t="shared" si="119"/>
        <v>0</v>
      </c>
      <c r="U171" s="19"/>
    </row>
    <row r="172" spans="5:21" s="13" customFormat="1" x14ac:dyDescent="0.3">
      <c r="E172" s="19"/>
      <c r="F172" s="9"/>
      <c r="G172" s="21">
        <f t="shared" si="119"/>
        <v>0</v>
      </c>
      <c r="U172" s="19"/>
    </row>
    <row r="173" spans="5:21" s="13" customFormat="1" x14ac:dyDescent="0.3">
      <c r="E173" s="19"/>
      <c r="F173" s="9"/>
      <c r="G173" s="21">
        <f t="shared" si="119"/>
        <v>0</v>
      </c>
      <c r="U173" s="19"/>
    </row>
    <row r="174" spans="5:21" s="13" customFormat="1" x14ac:dyDescent="0.3">
      <c r="E174" s="19"/>
      <c r="F174" s="9"/>
      <c r="G174" s="21">
        <f t="shared" si="119"/>
        <v>0</v>
      </c>
      <c r="U174" s="19"/>
    </row>
    <row r="175" spans="5:21" s="13" customFormat="1" x14ac:dyDescent="0.3">
      <c r="E175" s="19"/>
      <c r="F175" s="9"/>
      <c r="G175" s="21">
        <f t="shared" si="119"/>
        <v>0</v>
      </c>
      <c r="U175" s="19"/>
    </row>
    <row r="176" spans="5:21" s="13" customFormat="1" x14ac:dyDescent="0.3">
      <c r="E176" s="19"/>
      <c r="F176" s="9"/>
      <c r="G176" s="21">
        <f t="shared" si="119"/>
        <v>0</v>
      </c>
      <c r="U176" s="19"/>
    </row>
    <row r="177" spans="5:21" s="13" customFormat="1" x14ac:dyDescent="0.3">
      <c r="E177" s="19"/>
      <c r="F177" s="9"/>
      <c r="G177" s="21">
        <f t="shared" si="119"/>
        <v>0</v>
      </c>
      <c r="U177" s="19"/>
    </row>
    <row r="178" spans="5:21" s="13" customFormat="1" x14ac:dyDescent="0.3">
      <c r="E178" s="19"/>
      <c r="F178" s="9"/>
      <c r="G178" s="21">
        <f t="shared" si="119"/>
        <v>0</v>
      </c>
      <c r="U178" s="19"/>
    </row>
    <row r="179" spans="5:21" s="13" customFormat="1" x14ac:dyDescent="0.3">
      <c r="E179" s="19"/>
      <c r="F179" s="9"/>
      <c r="G179" s="21">
        <f t="shared" si="119"/>
        <v>0</v>
      </c>
      <c r="U179" s="19"/>
    </row>
    <row r="180" spans="5:21" s="13" customFormat="1" x14ac:dyDescent="0.3">
      <c r="E180" s="19"/>
      <c r="F180" s="9"/>
      <c r="G180" s="21">
        <f t="shared" si="119"/>
        <v>0</v>
      </c>
      <c r="U180" s="19"/>
    </row>
    <row r="181" spans="5:21" s="13" customFormat="1" x14ac:dyDescent="0.3">
      <c r="E181" s="19"/>
      <c r="F181" s="9"/>
      <c r="G181" s="21">
        <f t="shared" si="119"/>
        <v>0</v>
      </c>
      <c r="U181" s="19"/>
    </row>
    <row r="182" spans="5:21" s="13" customFormat="1" x14ac:dyDescent="0.3">
      <c r="E182" s="19"/>
      <c r="F182" s="9"/>
      <c r="G182" s="21">
        <f t="shared" si="119"/>
        <v>0</v>
      </c>
      <c r="U182" s="19"/>
    </row>
    <row r="183" spans="5:21" s="13" customFormat="1" x14ac:dyDescent="0.3">
      <c r="E183" s="19"/>
      <c r="F183" s="9"/>
      <c r="G183" s="21">
        <f t="shared" si="119"/>
        <v>0</v>
      </c>
      <c r="U183" s="19"/>
    </row>
    <row r="184" spans="5:21" s="13" customFormat="1" x14ac:dyDescent="0.3">
      <c r="E184" s="19"/>
      <c r="F184" s="9"/>
      <c r="G184" s="21">
        <f t="shared" si="119"/>
        <v>0</v>
      </c>
      <c r="U184" s="19"/>
    </row>
    <row r="185" spans="5:21" s="13" customFormat="1" x14ac:dyDescent="0.3">
      <c r="E185" s="19"/>
      <c r="F185" s="9"/>
      <c r="G185" s="21">
        <f t="shared" si="119"/>
        <v>0</v>
      </c>
      <c r="U185" s="19"/>
    </row>
    <row r="186" spans="5:21" s="13" customFormat="1" x14ac:dyDescent="0.3">
      <c r="E186" s="19"/>
      <c r="F186" s="9"/>
      <c r="G186" s="21">
        <f t="shared" si="119"/>
        <v>0</v>
      </c>
      <c r="U186" s="19"/>
    </row>
    <row r="187" spans="5:21" s="13" customFormat="1" x14ac:dyDescent="0.3">
      <c r="E187" s="19"/>
      <c r="F187" s="9"/>
      <c r="G187" s="21">
        <f t="shared" si="119"/>
        <v>0</v>
      </c>
      <c r="U187" s="19"/>
    </row>
    <row r="188" spans="5:21" s="13" customFormat="1" x14ac:dyDescent="0.3">
      <c r="E188" s="19"/>
      <c r="F188" s="9"/>
      <c r="G188" s="21">
        <f t="shared" si="119"/>
        <v>0</v>
      </c>
      <c r="U188" s="19"/>
    </row>
    <row r="189" spans="5:21" s="13" customFormat="1" x14ac:dyDescent="0.3">
      <c r="E189" s="19"/>
      <c r="F189" s="9"/>
      <c r="G189" s="21">
        <f t="shared" si="119"/>
        <v>0</v>
      </c>
      <c r="U189" s="19"/>
    </row>
    <row r="190" spans="5:21" s="13" customFormat="1" x14ac:dyDescent="0.3">
      <c r="E190" s="19"/>
      <c r="F190" s="9"/>
      <c r="G190" s="21">
        <f t="shared" si="119"/>
        <v>0</v>
      </c>
      <c r="U190" s="19"/>
    </row>
    <row r="191" spans="5:21" s="13" customFormat="1" x14ac:dyDescent="0.3">
      <c r="E191" s="19"/>
      <c r="F191" s="9"/>
      <c r="G191" s="21">
        <f t="shared" si="119"/>
        <v>0</v>
      </c>
      <c r="U191" s="19"/>
    </row>
    <row r="192" spans="5:21" s="13" customFormat="1" x14ac:dyDescent="0.3">
      <c r="E192" s="19"/>
      <c r="F192" s="9"/>
      <c r="G192" s="21">
        <f t="shared" si="119"/>
        <v>0</v>
      </c>
      <c r="U192" s="19"/>
    </row>
    <row r="193" spans="5:21" s="13" customFormat="1" x14ac:dyDescent="0.3">
      <c r="E193" s="19"/>
      <c r="F193" s="9"/>
      <c r="G193" s="21">
        <f t="shared" si="119"/>
        <v>0</v>
      </c>
      <c r="U193" s="19"/>
    </row>
    <row r="194" spans="5:21" s="13" customFormat="1" x14ac:dyDescent="0.3">
      <c r="E194" s="19"/>
      <c r="F194" s="9"/>
      <c r="G194" s="21">
        <f t="shared" si="119"/>
        <v>0</v>
      </c>
      <c r="U194" s="19"/>
    </row>
    <row r="195" spans="5:21" s="13" customFormat="1" x14ac:dyDescent="0.3">
      <c r="E195" s="19"/>
      <c r="F195" s="9"/>
      <c r="G195" s="21">
        <f t="shared" ref="G195:G258" si="120">F195/(2*PI())</f>
        <v>0</v>
      </c>
      <c r="U195" s="19"/>
    </row>
    <row r="196" spans="5:21" s="13" customFormat="1" x14ac:dyDescent="0.3">
      <c r="E196" s="19"/>
      <c r="F196" s="9"/>
      <c r="G196" s="21">
        <f t="shared" si="120"/>
        <v>0</v>
      </c>
      <c r="U196" s="19"/>
    </row>
    <row r="197" spans="5:21" s="13" customFormat="1" x14ac:dyDescent="0.3">
      <c r="E197" s="19"/>
      <c r="F197" s="9"/>
      <c r="G197" s="21">
        <f t="shared" si="120"/>
        <v>0</v>
      </c>
      <c r="U197" s="19"/>
    </row>
    <row r="198" spans="5:21" s="13" customFormat="1" x14ac:dyDescent="0.3">
      <c r="E198" s="19"/>
      <c r="F198" s="9"/>
      <c r="G198" s="21">
        <f t="shared" si="120"/>
        <v>0</v>
      </c>
      <c r="U198" s="19"/>
    </row>
    <row r="199" spans="5:21" s="13" customFormat="1" x14ac:dyDescent="0.3">
      <c r="E199" s="19"/>
      <c r="F199" s="9"/>
      <c r="G199" s="21">
        <f t="shared" si="120"/>
        <v>0</v>
      </c>
      <c r="U199" s="19"/>
    </row>
    <row r="200" spans="5:21" s="13" customFormat="1" x14ac:dyDescent="0.3">
      <c r="E200" s="19"/>
      <c r="F200" s="9"/>
      <c r="G200" s="21">
        <f t="shared" si="120"/>
        <v>0</v>
      </c>
      <c r="U200" s="19"/>
    </row>
    <row r="201" spans="5:21" s="13" customFormat="1" x14ac:dyDescent="0.3">
      <c r="E201" s="19"/>
      <c r="F201" s="9"/>
      <c r="G201" s="21">
        <f t="shared" si="120"/>
        <v>0</v>
      </c>
      <c r="U201" s="19"/>
    </row>
    <row r="202" spans="5:21" s="13" customFormat="1" x14ac:dyDescent="0.3">
      <c r="E202" s="19"/>
      <c r="F202" s="9"/>
      <c r="G202" s="21">
        <f t="shared" si="120"/>
        <v>0</v>
      </c>
      <c r="U202" s="19"/>
    </row>
    <row r="203" spans="5:21" s="13" customFormat="1" x14ac:dyDescent="0.3">
      <c r="E203" s="19"/>
      <c r="F203" s="9"/>
      <c r="G203" s="21">
        <f t="shared" si="120"/>
        <v>0</v>
      </c>
      <c r="U203" s="19"/>
    </row>
    <row r="204" spans="5:21" s="13" customFormat="1" x14ac:dyDescent="0.3">
      <c r="E204" s="19"/>
      <c r="F204" s="9"/>
      <c r="G204" s="21">
        <f t="shared" si="120"/>
        <v>0</v>
      </c>
      <c r="U204" s="19"/>
    </row>
    <row r="205" spans="5:21" s="13" customFormat="1" x14ac:dyDescent="0.3">
      <c r="E205" s="19"/>
      <c r="F205" s="9"/>
      <c r="G205" s="21">
        <f t="shared" si="120"/>
        <v>0</v>
      </c>
      <c r="U205" s="19"/>
    </row>
    <row r="206" spans="5:21" s="13" customFormat="1" x14ac:dyDescent="0.3">
      <c r="E206" s="19"/>
      <c r="F206" s="9"/>
      <c r="G206" s="21">
        <f t="shared" si="120"/>
        <v>0</v>
      </c>
      <c r="U206" s="19"/>
    </row>
    <row r="207" spans="5:21" s="13" customFormat="1" x14ac:dyDescent="0.3">
      <c r="E207" s="19"/>
      <c r="F207" s="9"/>
      <c r="G207" s="21">
        <f t="shared" si="120"/>
        <v>0</v>
      </c>
      <c r="U207" s="19"/>
    </row>
    <row r="208" spans="5:21" s="13" customFormat="1" x14ac:dyDescent="0.3">
      <c r="E208" s="19"/>
      <c r="F208" s="9"/>
      <c r="G208" s="21">
        <f t="shared" si="120"/>
        <v>0</v>
      </c>
      <c r="U208" s="19"/>
    </row>
    <row r="209" spans="5:21" s="13" customFormat="1" x14ac:dyDescent="0.3">
      <c r="E209" s="19"/>
      <c r="F209" s="9"/>
      <c r="G209" s="21">
        <f t="shared" si="120"/>
        <v>0</v>
      </c>
      <c r="U209" s="19"/>
    </row>
    <row r="210" spans="5:21" s="13" customFormat="1" x14ac:dyDescent="0.3">
      <c r="E210" s="19"/>
      <c r="F210" s="9"/>
      <c r="G210" s="21">
        <f t="shared" si="120"/>
        <v>0</v>
      </c>
      <c r="U210" s="19"/>
    </row>
    <row r="211" spans="5:21" s="13" customFormat="1" x14ac:dyDescent="0.3">
      <c r="E211" s="19"/>
      <c r="F211" s="9"/>
      <c r="G211" s="21">
        <f t="shared" si="120"/>
        <v>0</v>
      </c>
      <c r="U211" s="19"/>
    </row>
    <row r="212" spans="5:21" s="13" customFormat="1" x14ac:dyDescent="0.3">
      <c r="E212" s="19"/>
      <c r="F212" s="9"/>
      <c r="G212" s="21">
        <f t="shared" si="120"/>
        <v>0</v>
      </c>
      <c r="U212" s="19"/>
    </row>
    <row r="213" spans="5:21" s="13" customFormat="1" x14ac:dyDescent="0.3">
      <c r="E213" s="19"/>
      <c r="F213" s="9"/>
      <c r="G213" s="21">
        <f t="shared" si="120"/>
        <v>0</v>
      </c>
      <c r="U213" s="19"/>
    </row>
    <row r="214" spans="5:21" s="13" customFormat="1" x14ac:dyDescent="0.3">
      <c r="E214" s="19"/>
      <c r="F214" s="9"/>
      <c r="G214" s="21">
        <f t="shared" si="120"/>
        <v>0</v>
      </c>
      <c r="U214" s="19"/>
    </row>
    <row r="215" spans="5:21" s="13" customFormat="1" x14ac:dyDescent="0.3">
      <c r="E215" s="19"/>
      <c r="F215" s="9"/>
      <c r="G215" s="21">
        <f t="shared" si="120"/>
        <v>0</v>
      </c>
      <c r="U215" s="19"/>
    </row>
    <row r="216" spans="5:21" s="13" customFormat="1" x14ac:dyDescent="0.3">
      <c r="E216" s="19"/>
      <c r="F216" s="9"/>
      <c r="G216" s="21">
        <f t="shared" si="120"/>
        <v>0</v>
      </c>
      <c r="U216" s="19"/>
    </row>
    <row r="217" spans="5:21" s="13" customFormat="1" x14ac:dyDescent="0.3">
      <c r="E217" s="19"/>
      <c r="F217" s="9"/>
      <c r="G217" s="21">
        <f t="shared" si="120"/>
        <v>0</v>
      </c>
      <c r="U217" s="19"/>
    </row>
    <row r="218" spans="5:21" s="13" customFormat="1" x14ac:dyDescent="0.3">
      <c r="E218" s="19"/>
      <c r="F218" s="9"/>
      <c r="G218" s="21">
        <f t="shared" si="120"/>
        <v>0</v>
      </c>
      <c r="U218" s="19"/>
    </row>
    <row r="219" spans="5:21" s="13" customFormat="1" x14ac:dyDescent="0.3">
      <c r="E219" s="19"/>
      <c r="F219" s="9"/>
      <c r="G219" s="21">
        <f t="shared" si="120"/>
        <v>0</v>
      </c>
      <c r="U219" s="19"/>
    </row>
    <row r="220" spans="5:21" s="13" customFormat="1" x14ac:dyDescent="0.3">
      <c r="E220" s="19"/>
      <c r="F220" s="9"/>
      <c r="G220" s="21">
        <f t="shared" si="120"/>
        <v>0</v>
      </c>
      <c r="U220" s="19"/>
    </row>
    <row r="221" spans="5:21" s="13" customFormat="1" x14ac:dyDescent="0.3">
      <c r="E221" s="19"/>
      <c r="F221" s="9"/>
      <c r="G221" s="21">
        <f t="shared" si="120"/>
        <v>0</v>
      </c>
      <c r="U221" s="19"/>
    </row>
    <row r="222" spans="5:21" s="13" customFormat="1" x14ac:dyDescent="0.3">
      <c r="E222" s="19"/>
      <c r="F222" s="9"/>
      <c r="G222" s="21">
        <f t="shared" si="120"/>
        <v>0</v>
      </c>
      <c r="U222" s="19"/>
    </row>
    <row r="223" spans="5:21" s="13" customFormat="1" x14ac:dyDescent="0.3">
      <c r="E223" s="19"/>
      <c r="F223" s="9"/>
      <c r="G223" s="21">
        <f t="shared" si="120"/>
        <v>0</v>
      </c>
      <c r="U223" s="19"/>
    </row>
    <row r="224" spans="5:21" s="13" customFormat="1" x14ac:dyDescent="0.3">
      <c r="E224" s="19"/>
      <c r="F224" s="9"/>
      <c r="G224" s="21">
        <f t="shared" si="120"/>
        <v>0</v>
      </c>
      <c r="U224" s="19"/>
    </row>
    <row r="225" spans="5:21" s="13" customFormat="1" x14ac:dyDescent="0.3">
      <c r="E225" s="19"/>
      <c r="F225" s="9"/>
      <c r="G225" s="21">
        <f t="shared" si="120"/>
        <v>0</v>
      </c>
      <c r="U225" s="19"/>
    </row>
    <row r="226" spans="5:21" s="13" customFormat="1" x14ac:dyDescent="0.3">
      <c r="E226" s="19"/>
      <c r="F226" s="9"/>
      <c r="G226" s="21">
        <f t="shared" si="120"/>
        <v>0</v>
      </c>
      <c r="U226" s="19"/>
    </row>
    <row r="227" spans="5:21" s="13" customFormat="1" x14ac:dyDescent="0.3">
      <c r="E227" s="19"/>
      <c r="F227" s="9"/>
      <c r="G227" s="21">
        <f t="shared" si="120"/>
        <v>0</v>
      </c>
      <c r="U227" s="19"/>
    </row>
    <row r="228" spans="5:21" s="13" customFormat="1" x14ac:dyDescent="0.3">
      <c r="E228" s="19"/>
      <c r="F228" s="9"/>
      <c r="G228" s="21">
        <f t="shared" si="120"/>
        <v>0</v>
      </c>
      <c r="U228" s="19"/>
    </row>
    <row r="229" spans="5:21" s="13" customFormat="1" x14ac:dyDescent="0.3">
      <c r="E229" s="19"/>
      <c r="F229" s="9"/>
      <c r="G229" s="21">
        <f t="shared" si="120"/>
        <v>0</v>
      </c>
      <c r="U229" s="19"/>
    </row>
    <row r="230" spans="5:21" s="13" customFormat="1" x14ac:dyDescent="0.3">
      <c r="E230" s="19"/>
      <c r="F230" s="9"/>
      <c r="G230" s="21">
        <f t="shared" si="120"/>
        <v>0</v>
      </c>
      <c r="U230" s="19"/>
    </row>
    <row r="231" spans="5:21" s="13" customFormat="1" x14ac:dyDescent="0.3">
      <c r="E231" s="19"/>
      <c r="F231" s="9"/>
      <c r="G231" s="21">
        <f t="shared" si="120"/>
        <v>0</v>
      </c>
      <c r="U231" s="19"/>
    </row>
    <row r="232" spans="5:21" s="13" customFormat="1" x14ac:dyDescent="0.3">
      <c r="E232" s="19"/>
      <c r="F232" s="9"/>
      <c r="G232" s="21">
        <f t="shared" si="120"/>
        <v>0</v>
      </c>
      <c r="U232" s="19"/>
    </row>
    <row r="233" spans="5:21" s="13" customFormat="1" x14ac:dyDescent="0.3">
      <c r="E233" s="19"/>
      <c r="F233" s="9"/>
      <c r="G233" s="21">
        <f t="shared" si="120"/>
        <v>0</v>
      </c>
      <c r="U233" s="19"/>
    </row>
    <row r="234" spans="5:21" s="13" customFormat="1" x14ac:dyDescent="0.3">
      <c r="E234" s="19"/>
      <c r="F234" s="9"/>
      <c r="G234" s="21">
        <f t="shared" si="120"/>
        <v>0</v>
      </c>
      <c r="U234" s="19"/>
    </row>
    <row r="235" spans="5:21" s="13" customFormat="1" x14ac:dyDescent="0.3">
      <c r="E235" s="19"/>
      <c r="F235" s="9"/>
      <c r="G235" s="21">
        <f t="shared" si="120"/>
        <v>0</v>
      </c>
      <c r="U235" s="19"/>
    </row>
    <row r="236" spans="5:21" s="13" customFormat="1" x14ac:dyDescent="0.3">
      <c r="E236" s="19"/>
      <c r="F236" s="9"/>
      <c r="G236" s="21">
        <f t="shared" si="120"/>
        <v>0</v>
      </c>
      <c r="U236" s="19"/>
    </row>
    <row r="237" spans="5:21" s="13" customFormat="1" x14ac:dyDescent="0.3">
      <c r="E237" s="19"/>
      <c r="F237" s="9"/>
      <c r="G237" s="21">
        <f t="shared" si="120"/>
        <v>0</v>
      </c>
      <c r="U237" s="19"/>
    </row>
    <row r="238" spans="5:21" s="13" customFormat="1" x14ac:dyDescent="0.3">
      <c r="E238" s="19"/>
      <c r="F238" s="9"/>
      <c r="G238" s="21">
        <f t="shared" si="120"/>
        <v>0</v>
      </c>
      <c r="U238" s="19"/>
    </row>
    <row r="239" spans="5:21" s="13" customFormat="1" x14ac:dyDescent="0.3">
      <c r="E239" s="19"/>
      <c r="F239" s="9"/>
      <c r="G239" s="21">
        <f t="shared" si="120"/>
        <v>0</v>
      </c>
      <c r="U239" s="19"/>
    </row>
    <row r="240" spans="5:21" s="13" customFormat="1" x14ac:dyDescent="0.3">
      <c r="E240" s="19"/>
      <c r="F240" s="9"/>
      <c r="G240" s="21">
        <f t="shared" si="120"/>
        <v>0</v>
      </c>
      <c r="U240" s="19"/>
    </row>
    <row r="241" spans="5:21" s="13" customFormat="1" x14ac:dyDescent="0.3">
      <c r="E241" s="19"/>
      <c r="F241" s="9"/>
      <c r="G241" s="21">
        <f t="shared" si="120"/>
        <v>0</v>
      </c>
      <c r="U241" s="19"/>
    </row>
    <row r="242" spans="5:21" s="13" customFormat="1" x14ac:dyDescent="0.3">
      <c r="E242" s="19"/>
      <c r="F242" s="9"/>
      <c r="G242" s="21">
        <f t="shared" si="120"/>
        <v>0</v>
      </c>
      <c r="U242" s="19"/>
    </row>
    <row r="243" spans="5:21" s="13" customFormat="1" x14ac:dyDescent="0.3">
      <c r="E243" s="19"/>
      <c r="F243" s="9"/>
      <c r="G243" s="21">
        <f t="shared" si="120"/>
        <v>0</v>
      </c>
      <c r="U243" s="19"/>
    </row>
    <row r="244" spans="5:21" s="13" customFormat="1" x14ac:dyDescent="0.3">
      <c r="E244" s="19"/>
      <c r="F244" s="9"/>
      <c r="G244" s="21">
        <f t="shared" si="120"/>
        <v>0</v>
      </c>
      <c r="U244" s="19"/>
    </row>
    <row r="245" spans="5:21" s="13" customFormat="1" x14ac:dyDescent="0.3">
      <c r="E245" s="19"/>
      <c r="F245" s="9"/>
      <c r="G245" s="21">
        <f t="shared" si="120"/>
        <v>0</v>
      </c>
      <c r="U245" s="19"/>
    </row>
    <row r="246" spans="5:21" s="13" customFormat="1" x14ac:dyDescent="0.3">
      <c r="E246" s="19"/>
      <c r="F246" s="9"/>
      <c r="G246" s="21">
        <f t="shared" si="120"/>
        <v>0</v>
      </c>
      <c r="U246" s="19"/>
    </row>
    <row r="247" spans="5:21" s="13" customFormat="1" x14ac:dyDescent="0.3">
      <c r="E247" s="19"/>
      <c r="F247" s="9"/>
      <c r="G247" s="21">
        <f t="shared" si="120"/>
        <v>0</v>
      </c>
      <c r="U247" s="19"/>
    </row>
    <row r="248" spans="5:21" s="13" customFormat="1" x14ac:dyDescent="0.3">
      <c r="E248" s="19"/>
      <c r="F248" s="9"/>
      <c r="G248" s="21">
        <f t="shared" si="120"/>
        <v>0</v>
      </c>
      <c r="U248" s="19"/>
    </row>
    <row r="249" spans="5:21" s="13" customFormat="1" x14ac:dyDescent="0.3">
      <c r="E249" s="19"/>
      <c r="F249" s="9"/>
      <c r="G249" s="21">
        <f t="shared" si="120"/>
        <v>0</v>
      </c>
      <c r="U249" s="19"/>
    </row>
    <row r="250" spans="5:21" s="13" customFormat="1" x14ac:dyDescent="0.3">
      <c r="E250" s="19"/>
      <c r="F250" s="9"/>
      <c r="G250" s="21">
        <f t="shared" si="120"/>
        <v>0</v>
      </c>
      <c r="U250" s="19"/>
    </row>
    <row r="251" spans="5:21" s="13" customFormat="1" x14ac:dyDescent="0.3">
      <c r="E251" s="19"/>
      <c r="F251" s="9"/>
      <c r="G251" s="21">
        <f t="shared" si="120"/>
        <v>0</v>
      </c>
      <c r="U251" s="19"/>
    </row>
    <row r="252" spans="5:21" s="13" customFormat="1" x14ac:dyDescent="0.3">
      <c r="E252" s="19"/>
      <c r="F252" s="9"/>
      <c r="G252" s="21">
        <f t="shared" si="120"/>
        <v>0</v>
      </c>
      <c r="U252" s="19"/>
    </row>
    <row r="253" spans="5:21" s="13" customFormat="1" x14ac:dyDescent="0.3">
      <c r="E253" s="19"/>
      <c r="F253" s="9"/>
      <c r="G253" s="21">
        <f t="shared" si="120"/>
        <v>0</v>
      </c>
      <c r="U253" s="19"/>
    </row>
    <row r="254" spans="5:21" s="13" customFormat="1" x14ac:dyDescent="0.3">
      <c r="E254" s="19"/>
      <c r="F254" s="9"/>
      <c r="G254" s="21">
        <f t="shared" si="120"/>
        <v>0</v>
      </c>
      <c r="U254" s="19"/>
    </row>
    <row r="255" spans="5:21" s="13" customFormat="1" x14ac:dyDescent="0.3">
      <c r="E255" s="19"/>
      <c r="F255" s="9"/>
      <c r="G255" s="21">
        <f t="shared" si="120"/>
        <v>0</v>
      </c>
      <c r="U255" s="19"/>
    </row>
    <row r="256" spans="5:21" s="13" customFormat="1" x14ac:dyDescent="0.3">
      <c r="E256" s="19"/>
      <c r="F256" s="9"/>
      <c r="G256" s="21">
        <f t="shared" si="120"/>
        <v>0</v>
      </c>
      <c r="U256" s="19"/>
    </row>
    <row r="257" spans="5:21" s="13" customFormat="1" x14ac:dyDescent="0.3">
      <c r="E257" s="19"/>
      <c r="F257" s="9"/>
      <c r="G257" s="21">
        <f t="shared" si="120"/>
        <v>0</v>
      </c>
      <c r="U257" s="19"/>
    </row>
    <row r="258" spans="5:21" s="13" customFormat="1" x14ac:dyDescent="0.3">
      <c r="E258" s="19"/>
      <c r="F258" s="9"/>
      <c r="G258" s="21">
        <f t="shared" si="120"/>
        <v>0</v>
      </c>
      <c r="U258" s="19"/>
    </row>
    <row r="259" spans="5:21" s="13" customFormat="1" x14ac:dyDescent="0.3">
      <c r="E259" s="19"/>
      <c r="F259" s="9"/>
      <c r="G259" s="21">
        <f t="shared" ref="G259:G322" si="121">F259/(2*PI())</f>
        <v>0</v>
      </c>
      <c r="U259" s="19"/>
    </row>
    <row r="260" spans="5:21" s="13" customFormat="1" x14ac:dyDescent="0.3">
      <c r="E260" s="19"/>
      <c r="F260" s="9"/>
      <c r="G260" s="21">
        <f t="shared" si="121"/>
        <v>0</v>
      </c>
      <c r="U260" s="19"/>
    </row>
    <row r="261" spans="5:21" s="13" customFormat="1" x14ac:dyDescent="0.3">
      <c r="E261" s="19"/>
      <c r="F261" s="9"/>
      <c r="G261" s="21">
        <f t="shared" si="121"/>
        <v>0</v>
      </c>
      <c r="U261" s="19"/>
    </row>
    <row r="262" spans="5:21" s="13" customFormat="1" x14ac:dyDescent="0.3">
      <c r="E262" s="19"/>
      <c r="F262" s="9"/>
      <c r="G262" s="21">
        <f t="shared" si="121"/>
        <v>0</v>
      </c>
      <c r="U262" s="19"/>
    </row>
    <row r="263" spans="5:21" s="13" customFormat="1" x14ac:dyDescent="0.3">
      <c r="E263" s="19"/>
      <c r="F263" s="9"/>
      <c r="G263" s="21">
        <f t="shared" si="121"/>
        <v>0</v>
      </c>
      <c r="U263" s="19"/>
    </row>
    <row r="264" spans="5:21" s="13" customFormat="1" x14ac:dyDescent="0.3">
      <c r="E264" s="19"/>
      <c r="F264" s="9"/>
      <c r="G264" s="21">
        <f t="shared" si="121"/>
        <v>0</v>
      </c>
      <c r="U264" s="19"/>
    </row>
    <row r="265" spans="5:21" s="13" customFormat="1" x14ac:dyDescent="0.3">
      <c r="E265" s="19"/>
      <c r="F265" s="9"/>
      <c r="G265" s="21">
        <f t="shared" si="121"/>
        <v>0</v>
      </c>
      <c r="U265" s="19"/>
    </row>
    <row r="266" spans="5:21" s="13" customFormat="1" x14ac:dyDescent="0.3">
      <c r="E266" s="19"/>
      <c r="F266" s="9"/>
      <c r="G266" s="21">
        <f t="shared" si="121"/>
        <v>0</v>
      </c>
      <c r="U266" s="19"/>
    </row>
    <row r="267" spans="5:21" s="13" customFormat="1" x14ac:dyDescent="0.3">
      <c r="E267" s="19"/>
      <c r="F267" s="9"/>
      <c r="G267" s="21">
        <f t="shared" si="121"/>
        <v>0</v>
      </c>
      <c r="U267" s="19"/>
    </row>
    <row r="268" spans="5:21" s="13" customFormat="1" x14ac:dyDescent="0.3">
      <c r="E268" s="19"/>
      <c r="F268" s="9"/>
      <c r="G268" s="21">
        <f t="shared" si="121"/>
        <v>0</v>
      </c>
      <c r="U268" s="19"/>
    </row>
    <row r="269" spans="5:21" s="13" customFormat="1" x14ac:dyDescent="0.3">
      <c r="E269" s="19"/>
      <c r="F269" s="9"/>
      <c r="G269" s="21">
        <f t="shared" si="121"/>
        <v>0</v>
      </c>
      <c r="U269" s="19"/>
    </row>
    <row r="270" spans="5:21" s="13" customFormat="1" x14ac:dyDescent="0.3">
      <c r="E270" s="19"/>
      <c r="F270" s="9"/>
      <c r="G270" s="21">
        <f t="shared" si="121"/>
        <v>0</v>
      </c>
      <c r="U270" s="19"/>
    </row>
    <row r="271" spans="5:21" s="13" customFormat="1" x14ac:dyDescent="0.3">
      <c r="E271" s="19"/>
      <c r="F271" s="9"/>
      <c r="G271" s="21">
        <f t="shared" si="121"/>
        <v>0</v>
      </c>
      <c r="U271" s="19"/>
    </row>
    <row r="272" spans="5:21" s="13" customFormat="1" x14ac:dyDescent="0.3">
      <c r="E272" s="19"/>
      <c r="F272" s="9"/>
      <c r="G272" s="21">
        <f t="shared" si="121"/>
        <v>0</v>
      </c>
      <c r="U272" s="19"/>
    </row>
    <row r="273" spans="5:21" s="13" customFormat="1" x14ac:dyDescent="0.3">
      <c r="E273" s="19"/>
      <c r="F273" s="9"/>
      <c r="G273" s="21">
        <f t="shared" si="121"/>
        <v>0</v>
      </c>
      <c r="U273" s="19"/>
    </row>
    <row r="274" spans="5:21" s="13" customFormat="1" x14ac:dyDescent="0.3">
      <c r="E274" s="19"/>
      <c r="F274" s="9"/>
      <c r="G274" s="21">
        <f t="shared" si="121"/>
        <v>0</v>
      </c>
      <c r="U274" s="19"/>
    </row>
    <row r="275" spans="5:21" s="13" customFormat="1" x14ac:dyDescent="0.3">
      <c r="E275" s="19"/>
      <c r="F275" s="9"/>
      <c r="G275" s="21">
        <f t="shared" si="121"/>
        <v>0</v>
      </c>
      <c r="U275" s="19"/>
    </row>
    <row r="276" spans="5:21" s="13" customFormat="1" x14ac:dyDescent="0.3">
      <c r="E276" s="19"/>
      <c r="F276" s="9"/>
      <c r="G276" s="21">
        <f t="shared" si="121"/>
        <v>0</v>
      </c>
      <c r="U276" s="19"/>
    </row>
    <row r="277" spans="5:21" s="13" customFormat="1" x14ac:dyDescent="0.3">
      <c r="E277" s="19"/>
      <c r="F277" s="9"/>
      <c r="G277" s="21">
        <f t="shared" si="121"/>
        <v>0</v>
      </c>
      <c r="U277" s="19"/>
    </row>
    <row r="278" spans="5:21" s="13" customFormat="1" x14ac:dyDescent="0.3">
      <c r="E278" s="19"/>
      <c r="F278" s="9"/>
      <c r="G278" s="21">
        <f t="shared" si="121"/>
        <v>0</v>
      </c>
      <c r="U278" s="19"/>
    </row>
    <row r="279" spans="5:21" s="13" customFormat="1" x14ac:dyDescent="0.3">
      <c r="E279" s="19"/>
      <c r="F279" s="9"/>
      <c r="G279" s="21">
        <f t="shared" si="121"/>
        <v>0</v>
      </c>
      <c r="U279" s="19"/>
    </row>
    <row r="280" spans="5:21" s="13" customFormat="1" x14ac:dyDescent="0.3">
      <c r="E280" s="19"/>
      <c r="F280" s="9"/>
      <c r="G280" s="21">
        <f t="shared" si="121"/>
        <v>0</v>
      </c>
      <c r="U280" s="19"/>
    </row>
    <row r="281" spans="5:21" s="13" customFormat="1" x14ac:dyDescent="0.3">
      <c r="E281" s="19"/>
      <c r="F281" s="9"/>
      <c r="G281" s="21">
        <f t="shared" si="121"/>
        <v>0</v>
      </c>
      <c r="U281" s="19"/>
    </row>
    <row r="282" spans="5:21" s="13" customFormat="1" x14ac:dyDescent="0.3">
      <c r="E282" s="19"/>
      <c r="F282" s="9"/>
      <c r="G282" s="21">
        <f t="shared" si="121"/>
        <v>0</v>
      </c>
      <c r="U282" s="19"/>
    </row>
    <row r="283" spans="5:21" s="13" customFormat="1" x14ac:dyDescent="0.3">
      <c r="E283" s="19"/>
      <c r="F283" s="9"/>
      <c r="G283" s="21">
        <f t="shared" si="121"/>
        <v>0</v>
      </c>
      <c r="U283" s="19"/>
    </row>
    <row r="284" spans="5:21" s="13" customFormat="1" x14ac:dyDescent="0.3">
      <c r="E284" s="19"/>
      <c r="F284" s="9"/>
      <c r="G284" s="21">
        <f t="shared" si="121"/>
        <v>0</v>
      </c>
      <c r="U284" s="19"/>
    </row>
    <row r="285" spans="5:21" s="13" customFormat="1" x14ac:dyDescent="0.3">
      <c r="E285" s="19"/>
      <c r="F285" s="9"/>
      <c r="G285" s="21">
        <f t="shared" si="121"/>
        <v>0</v>
      </c>
      <c r="U285" s="19"/>
    </row>
    <row r="286" spans="5:21" s="13" customFormat="1" x14ac:dyDescent="0.3">
      <c r="E286" s="19"/>
      <c r="F286" s="9"/>
      <c r="G286" s="21">
        <f t="shared" si="121"/>
        <v>0</v>
      </c>
      <c r="U286" s="19"/>
    </row>
    <row r="287" spans="5:21" s="13" customFormat="1" x14ac:dyDescent="0.3">
      <c r="E287" s="19"/>
      <c r="F287" s="9"/>
      <c r="G287" s="21">
        <f t="shared" si="121"/>
        <v>0</v>
      </c>
      <c r="U287" s="19"/>
    </row>
    <row r="288" spans="5:21" s="13" customFormat="1" x14ac:dyDescent="0.3">
      <c r="E288" s="19"/>
      <c r="F288" s="9"/>
      <c r="G288" s="21">
        <f t="shared" si="121"/>
        <v>0</v>
      </c>
      <c r="U288" s="19"/>
    </row>
    <row r="289" spans="5:21" s="13" customFormat="1" x14ac:dyDescent="0.3">
      <c r="E289" s="19"/>
      <c r="F289" s="9"/>
      <c r="G289" s="21">
        <f t="shared" si="121"/>
        <v>0</v>
      </c>
      <c r="U289" s="19"/>
    </row>
    <row r="290" spans="5:21" s="13" customFormat="1" x14ac:dyDescent="0.3">
      <c r="E290" s="19"/>
      <c r="F290" s="9"/>
      <c r="G290" s="21">
        <f t="shared" si="121"/>
        <v>0</v>
      </c>
      <c r="U290" s="19"/>
    </row>
    <row r="291" spans="5:21" s="13" customFormat="1" x14ac:dyDescent="0.3">
      <c r="E291" s="19"/>
      <c r="F291" s="9"/>
      <c r="G291" s="21">
        <f t="shared" si="121"/>
        <v>0</v>
      </c>
      <c r="U291" s="19"/>
    </row>
    <row r="292" spans="5:21" s="13" customFormat="1" x14ac:dyDescent="0.3">
      <c r="E292" s="19"/>
      <c r="F292" s="9"/>
      <c r="G292" s="21">
        <f t="shared" si="121"/>
        <v>0</v>
      </c>
      <c r="U292" s="19"/>
    </row>
    <row r="293" spans="5:21" s="13" customFormat="1" x14ac:dyDescent="0.3">
      <c r="E293" s="19"/>
      <c r="F293" s="9"/>
      <c r="G293" s="21">
        <f t="shared" si="121"/>
        <v>0</v>
      </c>
      <c r="U293" s="19"/>
    </row>
    <row r="294" spans="5:21" s="13" customFormat="1" x14ac:dyDescent="0.3">
      <c r="E294" s="19"/>
      <c r="F294" s="9"/>
      <c r="G294" s="21">
        <f t="shared" si="121"/>
        <v>0</v>
      </c>
      <c r="U294" s="19"/>
    </row>
    <row r="295" spans="5:21" s="13" customFormat="1" x14ac:dyDescent="0.3">
      <c r="E295" s="19"/>
      <c r="F295" s="9"/>
      <c r="G295" s="21">
        <f t="shared" si="121"/>
        <v>0</v>
      </c>
      <c r="U295" s="19"/>
    </row>
    <row r="296" spans="5:21" s="13" customFormat="1" x14ac:dyDescent="0.3">
      <c r="E296" s="19"/>
      <c r="F296" s="9"/>
      <c r="G296" s="21">
        <f t="shared" si="121"/>
        <v>0</v>
      </c>
      <c r="U296" s="19"/>
    </row>
    <row r="297" spans="5:21" s="13" customFormat="1" x14ac:dyDescent="0.3">
      <c r="E297" s="19"/>
      <c r="F297" s="9"/>
      <c r="G297" s="21">
        <f t="shared" si="121"/>
        <v>0</v>
      </c>
      <c r="U297" s="19"/>
    </row>
    <row r="298" spans="5:21" s="13" customFormat="1" x14ac:dyDescent="0.3">
      <c r="E298" s="19"/>
      <c r="F298" s="9"/>
      <c r="G298" s="21">
        <f t="shared" si="121"/>
        <v>0</v>
      </c>
      <c r="U298" s="19"/>
    </row>
    <row r="299" spans="5:21" s="13" customFormat="1" x14ac:dyDescent="0.3">
      <c r="E299" s="19"/>
      <c r="F299" s="9"/>
      <c r="G299" s="21">
        <f t="shared" si="121"/>
        <v>0</v>
      </c>
      <c r="U299" s="19"/>
    </row>
    <row r="300" spans="5:21" s="13" customFormat="1" x14ac:dyDescent="0.3">
      <c r="E300" s="19"/>
      <c r="F300" s="9"/>
      <c r="G300" s="21">
        <f t="shared" si="121"/>
        <v>0</v>
      </c>
      <c r="U300" s="19"/>
    </row>
    <row r="301" spans="5:21" s="13" customFormat="1" x14ac:dyDescent="0.3">
      <c r="E301" s="19"/>
      <c r="F301" s="9"/>
      <c r="G301" s="21">
        <f t="shared" si="121"/>
        <v>0</v>
      </c>
      <c r="U301" s="19"/>
    </row>
    <row r="302" spans="5:21" s="13" customFormat="1" x14ac:dyDescent="0.3">
      <c r="E302" s="19"/>
      <c r="F302" s="9"/>
      <c r="G302" s="21">
        <f t="shared" si="121"/>
        <v>0</v>
      </c>
      <c r="U302" s="19"/>
    </row>
    <row r="303" spans="5:21" s="13" customFormat="1" x14ac:dyDescent="0.3">
      <c r="E303" s="19"/>
      <c r="F303" s="9"/>
      <c r="G303" s="21">
        <f t="shared" si="121"/>
        <v>0</v>
      </c>
      <c r="U303" s="19"/>
    </row>
    <row r="304" spans="5:21" s="13" customFormat="1" x14ac:dyDescent="0.3">
      <c r="E304" s="19"/>
      <c r="F304" s="9"/>
      <c r="G304" s="21">
        <f t="shared" si="121"/>
        <v>0</v>
      </c>
      <c r="U304" s="19"/>
    </row>
    <row r="305" spans="5:21" s="13" customFormat="1" x14ac:dyDescent="0.3">
      <c r="E305" s="19"/>
      <c r="F305" s="9"/>
      <c r="G305" s="21">
        <f t="shared" si="121"/>
        <v>0</v>
      </c>
      <c r="U305" s="19"/>
    </row>
    <row r="306" spans="5:21" s="13" customFormat="1" x14ac:dyDescent="0.3">
      <c r="E306" s="19"/>
      <c r="F306" s="9"/>
      <c r="G306" s="21">
        <f t="shared" si="121"/>
        <v>0</v>
      </c>
      <c r="U306" s="19"/>
    </row>
    <row r="307" spans="5:21" s="13" customFormat="1" x14ac:dyDescent="0.3">
      <c r="E307" s="19"/>
      <c r="F307" s="9"/>
      <c r="G307" s="21">
        <f t="shared" si="121"/>
        <v>0</v>
      </c>
      <c r="U307" s="19"/>
    </row>
    <row r="308" spans="5:21" s="13" customFormat="1" x14ac:dyDescent="0.3">
      <c r="E308" s="19"/>
      <c r="F308" s="9"/>
      <c r="G308" s="21">
        <f t="shared" si="121"/>
        <v>0</v>
      </c>
      <c r="U308" s="19"/>
    </row>
    <row r="309" spans="5:21" s="13" customFormat="1" x14ac:dyDescent="0.3">
      <c r="E309" s="19"/>
      <c r="F309" s="9"/>
      <c r="G309" s="21">
        <f t="shared" si="121"/>
        <v>0</v>
      </c>
      <c r="U309" s="19"/>
    </row>
    <row r="310" spans="5:21" s="13" customFormat="1" x14ac:dyDescent="0.3">
      <c r="E310" s="19"/>
      <c r="F310" s="9"/>
      <c r="G310" s="21">
        <f t="shared" si="121"/>
        <v>0</v>
      </c>
      <c r="U310" s="19"/>
    </row>
    <row r="311" spans="5:21" s="13" customFormat="1" x14ac:dyDescent="0.3">
      <c r="E311" s="19"/>
      <c r="F311" s="9"/>
      <c r="G311" s="21">
        <f t="shared" si="121"/>
        <v>0</v>
      </c>
      <c r="U311" s="19"/>
    </row>
    <row r="312" spans="5:21" s="13" customFormat="1" x14ac:dyDescent="0.3">
      <c r="E312" s="19"/>
      <c r="F312" s="9"/>
      <c r="G312" s="21">
        <f t="shared" si="121"/>
        <v>0</v>
      </c>
      <c r="U312" s="19"/>
    </row>
    <row r="313" spans="5:21" s="13" customFormat="1" x14ac:dyDescent="0.3">
      <c r="E313" s="19"/>
      <c r="F313" s="9"/>
      <c r="G313" s="21">
        <f t="shared" si="121"/>
        <v>0</v>
      </c>
      <c r="U313" s="19"/>
    </row>
    <row r="314" spans="5:21" s="13" customFormat="1" x14ac:dyDescent="0.3">
      <c r="E314" s="19"/>
      <c r="F314" s="9"/>
      <c r="G314" s="21">
        <f t="shared" si="121"/>
        <v>0</v>
      </c>
      <c r="U314" s="19"/>
    </row>
    <row r="315" spans="5:21" s="13" customFormat="1" x14ac:dyDescent="0.3">
      <c r="E315" s="19"/>
      <c r="F315" s="9"/>
      <c r="G315" s="21">
        <f t="shared" si="121"/>
        <v>0</v>
      </c>
      <c r="U315" s="19"/>
    </row>
    <row r="316" spans="5:21" s="13" customFormat="1" x14ac:dyDescent="0.3">
      <c r="E316" s="19"/>
      <c r="F316" s="9"/>
      <c r="G316" s="21">
        <f t="shared" si="121"/>
        <v>0</v>
      </c>
      <c r="U316" s="19"/>
    </row>
    <row r="317" spans="5:21" s="13" customFormat="1" x14ac:dyDescent="0.3">
      <c r="E317" s="19"/>
      <c r="F317" s="9"/>
      <c r="G317" s="21">
        <f t="shared" si="121"/>
        <v>0</v>
      </c>
      <c r="U317" s="19"/>
    </row>
    <row r="318" spans="5:21" s="13" customFormat="1" x14ac:dyDescent="0.3">
      <c r="E318" s="19"/>
      <c r="F318" s="9"/>
      <c r="G318" s="21">
        <f t="shared" si="121"/>
        <v>0</v>
      </c>
      <c r="U318" s="19"/>
    </row>
    <row r="319" spans="5:21" s="13" customFormat="1" x14ac:dyDescent="0.3">
      <c r="E319" s="19"/>
      <c r="F319" s="9"/>
      <c r="G319" s="21">
        <f t="shared" si="121"/>
        <v>0</v>
      </c>
      <c r="U319" s="19"/>
    </row>
    <row r="320" spans="5:21" s="13" customFormat="1" x14ac:dyDescent="0.3">
      <c r="E320" s="19"/>
      <c r="F320" s="9"/>
      <c r="G320" s="21">
        <f t="shared" si="121"/>
        <v>0</v>
      </c>
      <c r="U320" s="19"/>
    </row>
    <row r="321" spans="5:21" s="13" customFormat="1" x14ac:dyDescent="0.3">
      <c r="E321" s="19"/>
      <c r="F321" s="9"/>
      <c r="G321" s="21">
        <f t="shared" si="121"/>
        <v>0</v>
      </c>
      <c r="U321" s="19"/>
    </row>
    <row r="322" spans="5:21" s="13" customFormat="1" x14ac:dyDescent="0.3">
      <c r="E322" s="19"/>
      <c r="F322" s="9"/>
      <c r="G322" s="21">
        <f t="shared" si="121"/>
        <v>0</v>
      </c>
      <c r="U322" s="19"/>
    </row>
    <row r="323" spans="5:21" s="13" customFormat="1" x14ac:dyDescent="0.3">
      <c r="E323" s="19"/>
      <c r="F323" s="9"/>
      <c r="G323" s="21">
        <f t="shared" ref="G323:G386" si="122">F323/(2*PI())</f>
        <v>0</v>
      </c>
      <c r="U323" s="19"/>
    </row>
    <row r="324" spans="5:21" s="13" customFormat="1" x14ac:dyDescent="0.3">
      <c r="E324" s="19"/>
      <c r="F324" s="9"/>
      <c r="G324" s="21">
        <f t="shared" si="122"/>
        <v>0</v>
      </c>
      <c r="U324" s="19"/>
    </row>
    <row r="325" spans="5:21" s="13" customFormat="1" x14ac:dyDescent="0.3">
      <c r="E325" s="19"/>
      <c r="F325" s="9"/>
      <c r="G325" s="21">
        <f t="shared" si="122"/>
        <v>0</v>
      </c>
      <c r="U325" s="19"/>
    </row>
    <row r="326" spans="5:21" s="13" customFormat="1" x14ac:dyDescent="0.3">
      <c r="E326" s="19"/>
      <c r="F326" s="9"/>
      <c r="G326" s="21">
        <f t="shared" si="122"/>
        <v>0</v>
      </c>
      <c r="U326" s="19"/>
    </row>
    <row r="327" spans="5:21" s="13" customFormat="1" x14ac:dyDescent="0.3">
      <c r="E327" s="19"/>
      <c r="F327" s="9"/>
      <c r="G327" s="21">
        <f t="shared" si="122"/>
        <v>0</v>
      </c>
      <c r="U327" s="19"/>
    </row>
    <row r="328" spans="5:21" s="13" customFormat="1" x14ac:dyDescent="0.3">
      <c r="E328" s="19"/>
      <c r="F328" s="9"/>
      <c r="G328" s="21">
        <f t="shared" si="122"/>
        <v>0</v>
      </c>
      <c r="U328" s="19"/>
    </row>
    <row r="329" spans="5:21" s="13" customFormat="1" x14ac:dyDescent="0.3">
      <c r="E329" s="19"/>
      <c r="F329" s="9"/>
      <c r="G329" s="21">
        <f t="shared" si="122"/>
        <v>0</v>
      </c>
      <c r="U329" s="19"/>
    </row>
    <row r="330" spans="5:21" s="13" customFormat="1" x14ac:dyDescent="0.3">
      <c r="E330" s="19"/>
      <c r="F330" s="9"/>
      <c r="G330" s="21">
        <f t="shared" si="122"/>
        <v>0</v>
      </c>
      <c r="U330" s="19"/>
    </row>
    <row r="331" spans="5:21" s="13" customFormat="1" x14ac:dyDescent="0.3">
      <c r="E331" s="19"/>
      <c r="F331" s="9"/>
      <c r="G331" s="21">
        <f t="shared" si="122"/>
        <v>0</v>
      </c>
      <c r="U331" s="19"/>
    </row>
    <row r="332" spans="5:21" s="13" customFormat="1" x14ac:dyDescent="0.3">
      <c r="E332" s="19"/>
      <c r="F332" s="9"/>
      <c r="G332" s="21">
        <f t="shared" si="122"/>
        <v>0</v>
      </c>
      <c r="U332" s="19"/>
    </row>
    <row r="333" spans="5:21" s="13" customFormat="1" x14ac:dyDescent="0.3">
      <c r="E333" s="19"/>
      <c r="F333" s="9"/>
      <c r="G333" s="21">
        <f t="shared" si="122"/>
        <v>0</v>
      </c>
      <c r="U333" s="19"/>
    </row>
    <row r="334" spans="5:21" s="13" customFormat="1" x14ac:dyDescent="0.3">
      <c r="E334" s="19"/>
      <c r="F334" s="9"/>
      <c r="G334" s="21">
        <f t="shared" si="122"/>
        <v>0</v>
      </c>
      <c r="U334" s="19"/>
    </row>
    <row r="335" spans="5:21" s="13" customFormat="1" x14ac:dyDescent="0.3">
      <c r="E335" s="19"/>
      <c r="F335" s="9"/>
      <c r="G335" s="21">
        <f t="shared" si="122"/>
        <v>0</v>
      </c>
      <c r="U335" s="19"/>
    </row>
    <row r="336" spans="5:21" s="13" customFormat="1" x14ac:dyDescent="0.3">
      <c r="E336" s="19"/>
      <c r="F336" s="9"/>
      <c r="G336" s="21">
        <f t="shared" si="122"/>
        <v>0</v>
      </c>
      <c r="U336" s="19"/>
    </row>
    <row r="337" spans="5:21" s="13" customFormat="1" x14ac:dyDescent="0.3">
      <c r="E337" s="19"/>
      <c r="F337" s="9"/>
      <c r="G337" s="21">
        <f t="shared" si="122"/>
        <v>0</v>
      </c>
      <c r="U337" s="19"/>
    </row>
    <row r="338" spans="5:21" s="13" customFormat="1" x14ac:dyDescent="0.3">
      <c r="E338" s="19"/>
      <c r="F338" s="9"/>
      <c r="G338" s="21">
        <f t="shared" si="122"/>
        <v>0</v>
      </c>
      <c r="U338" s="19"/>
    </row>
    <row r="339" spans="5:21" s="13" customFormat="1" x14ac:dyDescent="0.3">
      <c r="E339" s="19"/>
      <c r="F339" s="9"/>
      <c r="G339" s="21">
        <f t="shared" si="122"/>
        <v>0</v>
      </c>
      <c r="U339" s="19"/>
    </row>
    <row r="340" spans="5:21" s="13" customFormat="1" x14ac:dyDescent="0.3">
      <c r="E340" s="19"/>
      <c r="F340" s="9"/>
      <c r="G340" s="21">
        <f t="shared" si="122"/>
        <v>0</v>
      </c>
      <c r="U340" s="19"/>
    </row>
    <row r="341" spans="5:21" s="13" customFormat="1" x14ac:dyDescent="0.3">
      <c r="E341" s="19"/>
      <c r="F341" s="9"/>
      <c r="G341" s="21">
        <f t="shared" si="122"/>
        <v>0</v>
      </c>
      <c r="U341" s="19"/>
    </row>
    <row r="342" spans="5:21" s="13" customFormat="1" x14ac:dyDescent="0.3">
      <c r="E342" s="19"/>
      <c r="F342" s="9"/>
      <c r="G342" s="21">
        <f t="shared" si="122"/>
        <v>0</v>
      </c>
      <c r="U342" s="19"/>
    </row>
    <row r="343" spans="5:21" s="13" customFormat="1" x14ac:dyDescent="0.3">
      <c r="E343" s="19"/>
      <c r="F343" s="9"/>
      <c r="G343" s="21">
        <f t="shared" si="122"/>
        <v>0</v>
      </c>
      <c r="U343" s="19"/>
    </row>
    <row r="344" spans="5:21" s="13" customFormat="1" x14ac:dyDescent="0.3">
      <c r="E344" s="19"/>
      <c r="F344" s="9"/>
      <c r="G344" s="21">
        <f t="shared" si="122"/>
        <v>0</v>
      </c>
      <c r="U344" s="19"/>
    </row>
    <row r="345" spans="5:21" s="13" customFormat="1" x14ac:dyDescent="0.3">
      <c r="E345" s="19"/>
      <c r="F345" s="9"/>
      <c r="G345" s="21">
        <f t="shared" si="122"/>
        <v>0</v>
      </c>
      <c r="U345" s="19"/>
    </row>
    <row r="346" spans="5:21" s="13" customFormat="1" x14ac:dyDescent="0.3">
      <c r="E346" s="19"/>
      <c r="F346" s="9"/>
      <c r="G346" s="21">
        <f t="shared" si="122"/>
        <v>0</v>
      </c>
      <c r="U346" s="19"/>
    </row>
    <row r="347" spans="5:21" s="13" customFormat="1" x14ac:dyDescent="0.3">
      <c r="E347" s="19"/>
      <c r="F347" s="9"/>
      <c r="G347" s="21">
        <f t="shared" si="122"/>
        <v>0</v>
      </c>
      <c r="U347" s="19"/>
    </row>
    <row r="348" spans="5:21" s="13" customFormat="1" x14ac:dyDescent="0.3">
      <c r="E348" s="19"/>
      <c r="F348" s="9"/>
      <c r="G348" s="21">
        <f t="shared" si="122"/>
        <v>0</v>
      </c>
      <c r="U348" s="19"/>
    </row>
    <row r="349" spans="5:21" s="13" customFormat="1" x14ac:dyDescent="0.3">
      <c r="E349" s="19"/>
      <c r="F349" s="9"/>
      <c r="G349" s="21">
        <f t="shared" si="122"/>
        <v>0</v>
      </c>
      <c r="U349" s="19"/>
    </row>
    <row r="350" spans="5:21" s="13" customFormat="1" x14ac:dyDescent="0.3">
      <c r="E350" s="19"/>
      <c r="F350" s="9"/>
      <c r="G350" s="21">
        <f t="shared" si="122"/>
        <v>0</v>
      </c>
      <c r="U350" s="19"/>
    </row>
    <row r="351" spans="5:21" s="13" customFormat="1" x14ac:dyDescent="0.3">
      <c r="E351" s="19"/>
      <c r="F351" s="9"/>
      <c r="G351" s="21">
        <f t="shared" si="122"/>
        <v>0</v>
      </c>
      <c r="U351" s="19"/>
    </row>
    <row r="352" spans="5:21" s="13" customFormat="1" x14ac:dyDescent="0.3">
      <c r="E352" s="19"/>
      <c r="F352" s="9"/>
      <c r="G352" s="21">
        <f t="shared" si="122"/>
        <v>0</v>
      </c>
      <c r="U352" s="19"/>
    </row>
    <row r="353" spans="5:21" s="13" customFormat="1" x14ac:dyDescent="0.3">
      <c r="E353" s="19"/>
      <c r="F353" s="9"/>
      <c r="G353" s="21">
        <f t="shared" si="122"/>
        <v>0</v>
      </c>
      <c r="U353" s="19"/>
    </row>
    <row r="354" spans="5:21" s="13" customFormat="1" x14ac:dyDescent="0.3">
      <c r="E354" s="19"/>
      <c r="F354" s="9"/>
      <c r="G354" s="21">
        <f t="shared" si="122"/>
        <v>0</v>
      </c>
      <c r="U354" s="19"/>
    </row>
    <row r="355" spans="5:21" s="13" customFormat="1" x14ac:dyDescent="0.3">
      <c r="E355" s="19"/>
      <c r="F355" s="9"/>
      <c r="G355" s="21">
        <f t="shared" si="122"/>
        <v>0</v>
      </c>
      <c r="U355" s="19"/>
    </row>
    <row r="356" spans="5:21" s="13" customFormat="1" x14ac:dyDescent="0.3">
      <c r="E356" s="19"/>
      <c r="F356" s="9"/>
      <c r="G356" s="21">
        <f t="shared" si="122"/>
        <v>0</v>
      </c>
      <c r="U356" s="19"/>
    </row>
    <row r="357" spans="5:21" s="13" customFormat="1" x14ac:dyDescent="0.3">
      <c r="E357" s="19"/>
      <c r="F357" s="9"/>
      <c r="G357" s="21">
        <f t="shared" si="122"/>
        <v>0</v>
      </c>
      <c r="U357" s="19"/>
    </row>
    <row r="358" spans="5:21" s="13" customFormat="1" x14ac:dyDescent="0.3">
      <c r="E358" s="19"/>
      <c r="F358" s="9"/>
      <c r="G358" s="21">
        <f t="shared" si="122"/>
        <v>0</v>
      </c>
      <c r="U358" s="19"/>
    </row>
    <row r="359" spans="5:21" s="13" customFormat="1" x14ac:dyDescent="0.3">
      <c r="E359" s="19"/>
      <c r="F359" s="9"/>
      <c r="G359" s="21">
        <f t="shared" si="122"/>
        <v>0</v>
      </c>
      <c r="U359" s="19"/>
    </row>
    <row r="360" spans="5:21" s="13" customFormat="1" x14ac:dyDescent="0.3">
      <c r="E360" s="19"/>
      <c r="F360" s="9"/>
      <c r="G360" s="21">
        <f t="shared" si="122"/>
        <v>0</v>
      </c>
      <c r="U360" s="19"/>
    </row>
    <row r="361" spans="5:21" s="13" customFormat="1" x14ac:dyDescent="0.3">
      <c r="E361" s="19"/>
      <c r="F361" s="9"/>
      <c r="G361" s="21">
        <f t="shared" si="122"/>
        <v>0</v>
      </c>
      <c r="U361" s="19"/>
    </row>
    <row r="362" spans="5:21" s="13" customFormat="1" x14ac:dyDescent="0.3">
      <c r="E362" s="19"/>
      <c r="F362" s="9"/>
      <c r="G362" s="21">
        <f t="shared" si="122"/>
        <v>0</v>
      </c>
      <c r="U362" s="19"/>
    </row>
    <row r="363" spans="5:21" s="13" customFormat="1" x14ac:dyDescent="0.3">
      <c r="E363" s="19"/>
      <c r="F363" s="9"/>
      <c r="G363" s="21">
        <f t="shared" si="122"/>
        <v>0</v>
      </c>
      <c r="U363" s="19"/>
    </row>
    <row r="364" spans="5:21" s="13" customFormat="1" x14ac:dyDescent="0.3">
      <c r="E364" s="19"/>
      <c r="F364" s="9"/>
      <c r="G364" s="21">
        <f t="shared" si="122"/>
        <v>0</v>
      </c>
      <c r="U364" s="19"/>
    </row>
    <row r="365" spans="5:21" s="13" customFormat="1" x14ac:dyDescent="0.3">
      <c r="E365" s="19"/>
      <c r="F365" s="9"/>
      <c r="G365" s="21">
        <f t="shared" si="122"/>
        <v>0</v>
      </c>
      <c r="U365" s="19"/>
    </row>
    <row r="366" spans="5:21" s="13" customFormat="1" x14ac:dyDescent="0.3">
      <c r="E366" s="19"/>
      <c r="F366" s="9"/>
      <c r="G366" s="21">
        <f t="shared" si="122"/>
        <v>0</v>
      </c>
      <c r="U366" s="19"/>
    </row>
    <row r="367" spans="5:21" s="13" customFormat="1" x14ac:dyDescent="0.3">
      <c r="E367" s="19"/>
      <c r="F367" s="9"/>
      <c r="G367" s="21">
        <f t="shared" si="122"/>
        <v>0</v>
      </c>
      <c r="U367" s="19"/>
    </row>
    <row r="368" spans="5:21" s="13" customFormat="1" x14ac:dyDescent="0.3">
      <c r="E368" s="19"/>
      <c r="F368" s="9"/>
      <c r="G368" s="21">
        <f t="shared" si="122"/>
        <v>0</v>
      </c>
      <c r="U368" s="19"/>
    </row>
    <row r="369" spans="5:21" s="13" customFormat="1" x14ac:dyDescent="0.3">
      <c r="E369" s="19"/>
      <c r="F369" s="9"/>
      <c r="G369" s="21">
        <f t="shared" si="122"/>
        <v>0</v>
      </c>
      <c r="U369" s="19"/>
    </row>
    <row r="370" spans="5:21" s="13" customFormat="1" x14ac:dyDescent="0.3">
      <c r="E370" s="19"/>
      <c r="F370" s="9"/>
      <c r="G370" s="21">
        <f t="shared" si="122"/>
        <v>0</v>
      </c>
      <c r="U370" s="19"/>
    </row>
    <row r="371" spans="5:21" s="13" customFormat="1" x14ac:dyDescent="0.3">
      <c r="E371" s="19"/>
      <c r="F371" s="9"/>
      <c r="G371" s="21">
        <f t="shared" si="122"/>
        <v>0</v>
      </c>
      <c r="U371" s="19"/>
    </row>
    <row r="372" spans="5:21" s="13" customFormat="1" x14ac:dyDescent="0.3">
      <c r="E372" s="19"/>
      <c r="F372" s="9"/>
      <c r="G372" s="21">
        <f t="shared" si="122"/>
        <v>0</v>
      </c>
      <c r="U372" s="19"/>
    </row>
    <row r="373" spans="5:21" s="13" customFormat="1" x14ac:dyDescent="0.3">
      <c r="E373" s="19"/>
      <c r="F373" s="9"/>
      <c r="G373" s="21">
        <f t="shared" si="122"/>
        <v>0</v>
      </c>
      <c r="U373" s="19"/>
    </row>
    <row r="374" spans="5:21" s="13" customFormat="1" x14ac:dyDescent="0.3">
      <c r="E374" s="19"/>
      <c r="F374" s="9"/>
      <c r="G374" s="21">
        <f t="shared" si="122"/>
        <v>0</v>
      </c>
      <c r="U374" s="19"/>
    </row>
    <row r="375" spans="5:21" s="13" customFormat="1" x14ac:dyDescent="0.3">
      <c r="E375" s="19"/>
      <c r="F375" s="9"/>
      <c r="G375" s="21">
        <f t="shared" si="122"/>
        <v>0</v>
      </c>
      <c r="U375" s="19"/>
    </row>
    <row r="376" spans="5:21" s="13" customFormat="1" x14ac:dyDescent="0.3">
      <c r="E376" s="19"/>
      <c r="F376" s="9"/>
      <c r="G376" s="21">
        <f t="shared" si="122"/>
        <v>0</v>
      </c>
      <c r="U376" s="19"/>
    </row>
    <row r="377" spans="5:21" s="13" customFormat="1" x14ac:dyDescent="0.3">
      <c r="E377" s="19"/>
      <c r="F377" s="9"/>
      <c r="G377" s="21">
        <f t="shared" si="122"/>
        <v>0</v>
      </c>
      <c r="U377" s="19"/>
    </row>
    <row r="378" spans="5:21" s="13" customFormat="1" x14ac:dyDescent="0.3">
      <c r="E378" s="19"/>
      <c r="F378" s="9"/>
      <c r="G378" s="21">
        <f t="shared" si="122"/>
        <v>0</v>
      </c>
      <c r="U378" s="19"/>
    </row>
    <row r="379" spans="5:21" s="13" customFormat="1" x14ac:dyDescent="0.3">
      <c r="E379" s="19"/>
      <c r="F379" s="9"/>
      <c r="G379" s="21">
        <f t="shared" si="122"/>
        <v>0</v>
      </c>
      <c r="U379" s="19"/>
    </row>
    <row r="380" spans="5:21" s="13" customFormat="1" x14ac:dyDescent="0.3">
      <c r="E380" s="19"/>
      <c r="F380" s="9"/>
      <c r="G380" s="21">
        <f t="shared" si="122"/>
        <v>0</v>
      </c>
      <c r="U380" s="19"/>
    </row>
    <row r="381" spans="5:21" s="13" customFormat="1" x14ac:dyDescent="0.3">
      <c r="E381" s="19"/>
      <c r="F381" s="9"/>
      <c r="G381" s="21">
        <f t="shared" si="122"/>
        <v>0</v>
      </c>
      <c r="U381" s="19"/>
    </row>
    <row r="382" spans="5:21" s="13" customFormat="1" x14ac:dyDescent="0.3">
      <c r="E382" s="19"/>
      <c r="F382" s="9"/>
      <c r="G382" s="21">
        <f t="shared" si="122"/>
        <v>0</v>
      </c>
      <c r="U382" s="19"/>
    </row>
    <row r="383" spans="5:21" s="13" customFormat="1" x14ac:dyDescent="0.3">
      <c r="E383" s="19"/>
      <c r="F383" s="9"/>
      <c r="G383" s="21">
        <f t="shared" si="122"/>
        <v>0</v>
      </c>
      <c r="U383" s="19"/>
    </row>
    <row r="384" spans="5:21" s="13" customFormat="1" x14ac:dyDescent="0.3">
      <c r="E384" s="19"/>
      <c r="F384" s="9"/>
      <c r="G384" s="21">
        <f t="shared" si="122"/>
        <v>0</v>
      </c>
      <c r="U384" s="19"/>
    </row>
    <row r="385" spans="5:21" s="13" customFormat="1" x14ac:dyDescent="0.3">
      <c r="E385" s="19"/>
      <c r="F385" s="9"/>
      <c r="G385" s="21">
        <f t="shared" si="122"/>
        <v>0</v>
      </c>
      <c r="U385" s="19"/>
    </row>
    <row r="386" spans="5:21" s="13" customFormat="1" x14ac:dyDescent="0.3">
      <c r="E386" s="19"/>
      <c r="F386" s="9"/>
      <c r="G386" s="21">
        <f t="shared" si="122"/>
        <v>0</v>
      </c>
      <c r="U386" s="19"/>
    </row>
    <row r="387" spans="5:21" s="13" customFormat="1" x14ac:dyDescent="0.3">
      <c r="E387" s="19"/>
      <c r="F387" s="9"/>
      <c r="G387" s="21">
        <f t="shared" ref="G387:G450" si="123">F387/(2*PI())</f>
        <v>0</v>
      </c>
      <c r="U387" s="19"/>
    </row>
    <row r="388" spans="5:21" s="13" customFormat="1" x14ac:dyDescent="0.3">
      <c r="E388" s="19"/>
      <c r="F388" s="9"/>
      <c r="G388" s="21">
        <f t="shared" si="123"/>
        <v>0</v>
      </c>
      <c r="U388" s="19"/>
    </row>
    <row r="389" spans="5:21" s="13" customFormat="1" x14ac:dyDescent="0.3">
      <c r="E389" s="19"/>
      <c r="F389" s="9"/>
      <c r="G389" s="21">
        <f t="shared" si="123"/>
        <v>0</v>
      </c>
      <c r="U389" s="19"/>
    </row>
    <row r="390" spans="5:21" s="13" customFormat="1" x14ac:dyDescent="0.3">
      <c r="E390" s="19"/>
      <c r="F390" s="9"/>
      <c r="G390" s="21">
        <f t="shared" si="123"/>
        <v>0</v>
      </c>
      <c r="U390" s="19"/>
    </row>
    <row r="391" spans="5:21" s="13" customFormat="1" x14ac:dyDescent="0.3">
      <c r="E391" s="19"/>
      <c r="F391" s="9"/>
      <c r="G391" s="21">
        <f t="shared" si="123"/>
        <v>0</v>
      </c>
      <c r="U391" s="19"/>
    </row>
    <row r="392" spans="5:21" s="13" customFormat="1" x14ac:dyDescent="0.3">
      <c r="E392" s="19"/>
      <c r="F392" s="9"/>
      <c r="G392" s="21">
        <f t="shared" si="123"/>
        <v>0</v>
      </c>
      <c r="U392" s="19"/>
    </row>
    <row r="393" spans="5:21" s="13" customFormat="1" x14ac:dyDescent="0.3">
      <c r="E393" s="19"/>
      <c r="F393" s="9"/>
      <c r="G393" s="21">
        <f t="shared" si="123"/>
        <v>0</v>
      </c>
      <c r="U393" s="19"/>
    </row>
    <row r="394" spans="5:21" s="13" customFormat="1" x14ac:dyDescent="0.3">
      <c r="E394" s="19"/>
      <c r="F394" s="9"/>
      <c r="G394" s="21">
        <f t="shared" si="123"/>
        <v>0</v>
      </c>
      <c r="U394" s="19"/>
    </row>
    <row r="395" spans="5:21" s="13" customFormat="1" x14ac:dyDescent="0.3">
      <c r="E395" s="19"/>
      <c r="F395" s="9"/>
      <c r="G395" s="21">
        <f t="shared" si="123"/>
        <v>0</v>
      </c>
      <c r="U395" s="19"/>
    </row>
    <row r="396" spans="5:21" s="13" customFormat="1" x14ac:dyDescent="0.3">
      <c r="E396" s="19"/>
      <c r="F396" s="9"/>
      <c r="G396" s="21">
        <f t="shared" si="123"/>
        <v>0</v>
      </c>
      <c r="U396" s="19"/>
    </row>
    <row r="397" spans="5:21" s="13" customFormat="1" x14ac:dyDescent="0.3">
      <c r="E397" s="19"/>
      <c r="F397" s="9"/>
      <c r="G397" s="21">
        <f t="shared" si="123"/>
        <v>0</v>
      </c>
      <c r="U397" s="19"/>
    </row>
    <row r="398" spans="5:21" s="13" customFormat="1" x14ac:dyDescent="0.3">
      <c r="E398" s="19"/>
      <c r="F398" s="9"/>
      <c r="G398" s="21">
        <f t="shared" si="123"/>
        <v>0</v>
      </c>
      <c r="U398" s="19"/>
    </row>
    <row r="399" spans="5:21" s="13" customFormat="1" x14ac:dyDescent="0.3">
      <c r="E399" s="19"/>
      <c r="F399" s="9"/>
      <c r="G399" s="21">
        <f t="shared" si="123"/>
        <v>0</v>
      </c>
      <c r="U399" s="19"/>
    </row>
    <row r="400" spans="5:21" s="13" customFormat="1" x14ac:dyDescent="0.3">
      <c r="E400" s="19"/>
      <c r="F400" s="9"/>
      <c r="G400" s="21">
        <f t="shared" si="123"/>
        <v>0</v>
      </c>
      <c r="U400" s="19"/>
    </row>
    <row r="401" spans="5:21" s="13" customFormat="1" x14ac:dyDescent="0.3">
      <c r="E401" s="19"/>
      <c r="F401" s="9"/>
      <c r="G401" s="21">
        <f t="shared" si="123"/>
        <v>0</v>
      </c>
      <c r="U401" s="19"/>
    </row>
    <row r="402" spans="5:21" s="13" customFormat="1" x14ac:dyDescent="0.3">
      <c r="E402" s="19"/>
      <c r="F402" s="9"/>
      <c r="G402" s="21">
        <f t="shared" si="123"/>
        <v>0</v>
      </c>
      <c r="U402" s="19"/>
    </row>
    <row r="403" spans="5:21" s="13" customFormat="1" x14ac:dyDescent="0.3">
      <c r="E403" s="19"/>
      <c r="F403" s="9"/>
      <c r="G403" s="21">
        <f t="shared" si="123"/>
        <v>0</v>
      </c>
      <c r="U403" s="19"/>
    </row>
    <row r="404" spans="5:21" s="13" customFormat="1" x14ac:dyDescent="0.3">
      <c r="E404" s="19"/>
      <c r="F404" s="9"/>
      <c r="G404" s="21">
        <f t="shared" si="123"/>
        <v>0</v>
      </c>
      <c r="U404" s="19"/>
    </row>
    <row r="405" spans="5:21" s="13" customFormat="1" x14ac:dyDescent="0.3">
      <c r="E405" s="19"/>
      <c r="F405" s="9"/>
      <c r="G405" s="21">
        <f t="shared" si="123"/>
        <v>0</v>
      </c>
      <c r="U405" s="19"/>
    </row>
    <row r="406" spans="5:21" s="13" customFormat="1" x14ac:dyDescent="0.3">
      <c r="E406" s="19"/>
      <c r="F406" s="9"/>
      <c r="G406" s="21">
        <f t="shared" si="123"/>
        <v>0</v>
      </c>
      <c r="U406" s="19"/>
    </row>
    <row r="407" spans="5:21" s="13" customFormat="1" x14ac:dyDescent="0.3">
      <c r="E407" s="19"/>
      <c r="F407" s="9"/>
      <c r="G407" s="21">
        <f t="shared" si="123"/>
        <v>0</v>
      </c>
      <c r="U407" s="19"/>
    </row>
    <row r="408" spans="5:21" s="13" customFormat="1" x14ac:dyDescent="0.3">
      <c r="E408" s="19"/>
      <c r="F408" s="9"/>
      <c r="G408" s="21">
        <f t="shared" si="123"/>
        <v>0</v>
      </c>
      <c r="U408" s="19"/>
    </row>
    <row r="409" spans="5:21" s="13" customFormat="1" x14ac:dyDescent="0.3">
      <c r="E409" s="19"/>
      <c r="F409" s="9"/>
      <c r="G409" s="21">
        <f t="shared" si="123"/>
        <v>0</v>
      </c>
      <c r="U409" s="19"/>
    </row>
    <row r="410" spans="5:21" s="13" customFormat="1" x14ac:dyDescent="0.3">
      <c r="E410" s="19"/>
      <c r="F410" s="9"/>
      <c r="G410" s="21">
        <f t="shared" si="123"/>
        <v>0</v>
      </c>
      <c r="U410" s="19"/>
    </row>
    <row r="411" spans="5:21" s="13" customFormat="1" x14ac:dyDescent="0.3">
      <c r="E411" s="19"/>
      <c r="F411" s="9"/>
      <c r="G411" s="21">
        <f t="shared" si="123"/>
        <v>0</v>
      </c>
      <c r="U411" s="19"/>
    </row>
    <row r="412" spans="5:21" s="13" customFormat="1" x14ac:dyDescent="0.3">
      <c r="E412" s="19"/>
      <c r="F412" s="9"/>
      <c r="G412" s="21">
        <f t="shared" si="123"/>
        <v>0</v>
      </c>
      <c r="U412" s="19"/>
    </row>
    <row r="413" spans="5:21" s="13" customFormat="1" x14ac:dyDescent="0.3">
      <c r="E413" s="19"/>
      <c r="F413" s="9"/>
      <c r="G413" s="21">
        <f t="shared" si="123"/>
        <v>0</v>
      </c>
      <c r="U413" s="19"/>
    </row>
    <row r="414" spans="5:21" s="13" customFormat="1" x14ac:dyDescent="0.3">
      <c r="E414" s="19"/>
      <c r="F414" s="9"/>
      <c r="G414" s="21">
        <f t="shared" si="123"/>
        <v>0</v>
      </c>
      <c r="U414" s="19"/>
    </row>
    <row r="415" spans="5:21" s="13" customFormat="1" x14ac:dyDescent="0.3">
      <c r="E415" s="19"/>
      <c r="F415" s="9"/>
      <c r="G415" s="21">
        <f t="shared" si="123"/>
        <v>0</v>
      </c>
      <c r="U415" s="19"/>
    </row>
    <row r="416" spans="5:21" s="13" customFormat="1" x14ac:dyDescent="0.3">
      <c r="E416" s="19"/>
      <c r="F416" s="9"/>
      <c r="G416" s="21">
        <f t="shared" si="123"/>
        <v>0</v>
      </c>
      <c r="U416" s="19"/>
    </row>
    <row r="417" spans="5:21" s="13" customFormat="1" x14ac:dyDescent="0.3">
      <c r="E417" s="19"/>
      <c r="F417" s="9"/>
      <c r="G417" s="21">
        <f t="shared" si="123"/>
        <v>0</v>
      </c>
      <c r="U417" s="19"/>
    </row>
    <row r="418" spans="5:21" s="13" customFormat="1" x14ac:dyDescent="0.3">
      <c r="E418" s="19"/>
      <c r="F418" s="9"/>
      <c r="G418" s="21">
        <f t="shared" si="123"/>
        <v>0</v>
      </c>
      <c r="U418" s="19"/>
    </row>
    <row r="419" spans="5:21" s="13" customFormat="1" x14ac:dyDescent="0.3">
      <c r="E419" s="19"/>
      <c r="F419" s="9"/>
      <c r="G419" s="21">
        <f t="shared" si="123"/>
        <v>0</v>
      </c>
      <c r="U419" s="19"/>
    </row>
    <row r="420" spans="5:21" s="13" customFormat="1" x14ac:dyDescent="0.3">
      <c r="E420" s="19"/>
      <c r="F420" s="9"/>
      <c r="G420" s="21">
        <f t="shared" si="123"/>
        <v>0</v>
      </c>
      <c r="U420" s="19"/>
    </row>
    <row r="421" spans="5:21" s="13" customFormat="1" x14ac:dyDescent="0.3">
      <c r="E421" s="19"/>
      <c r="F421" s="9"/>
      <c r="G421" s="21">
        <f t="shared" si="123"/>
        <v>0</v>
      </c>
      <c r="U421" s="19"/>
    </row>
    <row r="422" spans="5:21" s="13" customFormat="1" x14ac:dyDescent="0.3">
      <c r="E422" s="19"/>
      <c r="F422" s="9"/>
      <c r="G422" s="21">
        <f t="shared" si="123"/>
        <v>0</v>
      </c>
      <c r="U422" s="19"/>
    </row>
    <row r="423" spans="5:21" s="13" customFormat="1" x14ac:dyDescent="0.3">
      <c r="E423" s="19"/>
      <c r="F423" s="9"/>
      <c r="G423" s="21">
        <f t="shared" si="123"/>
        <v>0</v>
      </c>
      <c r="U423" s="19"/>
    </row>
    <row r="424" spans="5:21" s="13" customFormat="1" x14ac:dyDescent="0.3">
      <c r="E424" s="19"/>
      <c r="F424" s="9"/>
      <c r="G424" s="21">
        <f t="shared" si="123"/>
        <v>0</v>
      </c>
      <c r="U424" s="19"/>
    </row>
    <row r="425" spans="5:21" s="13" customFormat="1" x14ac:dyDescent="0.3">
      <c r="E425" s="19"/>
      <c r="F425" s="9"/>
      <c r="G425" s="21">
        <f t="shared" si="123"/>
        <v>0</v>
      </c>
      <c r="U425" s="19"/>
    </row>
    <row r="426" spans="5:21" s="13" customFormat="1" x14ac:dyDescent="0.3">
      <c r="E426" s="19"/>
      <c r="F426" s="9"/>
      <c r="G426" s="21">
        <f t="shared" si="123"/>
        <v>0</v>
      </c>
      <c r="U426" s="19"/>
    </row>
    <row r="427" spans="5:21" s="13" customFormat="1" x14ac:dyDescent="0.3">
      <c r="E427" s="19"/>
      <c r="F427" s="9"/>
      <c r="G427" s="21">
        <f t="shared" si="123"/>
        <v>0</v>
      </c>
      <c r="U427" s="19"/>
    </row>
    <row r="428" spans="5:21" s="13" customFormat="1" x14ac:dyDescent="0.3">
      <c r="E428" s="19"/>
      <c r="F428" s="9"/>
      <c r="G428" s="21">
        <f t="shared" si="123"/>
        <v>0</v>
      </c>
      <c r="U428" s="19"/>
    </row>
    <row r="429" spans="5:21" s="13" customFormat="1" x14ac:dyDescent="0.3">
      <c r="E429" s="19"/>
      <c r="F429" s="9"/>
      <c r="G429" s="21">
        <f t="shared" si="123"/>
        <v>0</v>
      </c>
      <c r="U429" s="19"/>
    </row>
    <row r="430" spans="5:21" s="13" customFormat="1" x14ac:dyDescent="0.3">
      <c r="E430" s="19"/>
      <c r="F430" s="9"/>
      <c r="G430" s="21">
        <f t="shared" si="123"/>
        <v>0</v>
      </c>
      <c r="U430" s="19"/>
    </row>
    <row r="431" spans="5:21" s="13" customFormat="1" x14ac:dyDescent="0.3">
      <c r="E431" s="19"/>
      <c r="F431" s="9"/>
      <c r="G431" s="21">
        <f t="shared" si="123"/>
        <v>0</v>
      </c>
      <c r="U431" s="19"/>
    </row>
    <row r="432" spans="5:21" s="13" customFormat="1" x14ac:dyDescent="0.3">
      <c r="E432" s="19"/>
      <c r="F432" s="9"/>
      <c r="G432" s="21">
        <f t="shared" si="123"/>
        <v>0</v>
      </c>
      <c r="U432" s="19"/>
    </row>
    <row r="433" spans="5:21" s="13" customFormat="1" x14ac:dyDescent="0.3">
      <c r="E433" s="19"/>
      <c r="F433" s="9"/>
      <c r="G433" s="21">
        <f t="shared" si="123"/>
        <v>0</v>
      </c>
      <c r="U433" s="19"/>
    </row>
    <row r="434" spans="5:21" s="13" customFormat="1" x14ac:dyDescent="0.3">
      <c r="E434" s="19"/>
      <c r="F434" s="9"/>
      <c r="G434" s="21">
        <f t="shared" si="123"/>
        <v>0</v>
      </c>
      <c r="U434" s="19"/>
    </row>
    <row r="435" spans="5:21" s="13" customFormat="1" x14ac:dyDescent="0.3">
      <c r="E435" s="19"/>
      <c r="F435" s="9"/>
      <c r="G435" s="21">
        <f t="shared" si="123"/>
        <v>0</v>
      </c>
      <c r="U435" s="19"/>
    </row>
    <row r="436" spans="5:21" s="13" customFormat="1" x14ac:dyDescent="0.3">
      <c r="E436" s="19"/>
      <c r="F436" s="9"/>
      <c r="G436" s="21">
        <f t="shared" si="123"/>
        <v>0</v>
      </c>
      <c r="U436" s="19"/>
    </row>
    <row r="437" spans="5:21" s="13" customFormat="1" x14ac:dyDescent="0.3">
      <c r="E437" s="19"/>
      <c r="F437" s="9"/>
      <c r="G437" s="21">
        <f t="shared" si="123"/>
        <v>0</v>
      </c>
      <c r="U437" s="19"/>
    </row>
    <row r="438" spans="5:21" s="13" customFormat="1" x14ac:dyDescent="0.3">
      <c r="E438" s="19"/>
      <c r="F438" s="9"/>
      <c r="G438" s="21">
        <f t="shared" si="123"/>
        <v>0</v>
      </c>
      <c r="U438" s="19"/>
    </row>
    <row r="439" spans="5:21" s="13" customFormat="1" x14ac:dyDescent="0.3">
      <c r="E439" s="19"/>
      <c r="F439" s="9"/>
      <c r="G439" s="21">
        <f t="shared" si="123"/>
        <v>0</v>
      </c>
      <c r="U439" s="19"/>
    </row>
    <row r="440" spans="5:21" s="13" customFormat="1" x14ac:dyDescent="0.3">
      <c r="E440" s="19"/>
      <c r="F440" s="9"/>
      <c r="G440" s="21">
        <f t="shared" si="123"/>
        <v>0</v>
      </c>
      <c r="U440" s="19"/>
    </row>
    <row r="441" spans="5:21" s="13" customFormat="1" x14ac:dyDescent="0.3">
      <c r="E441" s="19"/>
      <c r="F441" s="9"/>
      <c r="G441" s="21">
        <f t="shared" si="123"/>
        <v>0</v>
      </c>
      <c r="U441" s="19"/>
    </row>
    <row r="442" spans="5:21" s="13" customFormat="1" x14ac:dyDescent="0.3">
      <c r="E442" s="19"/>
      <c r="F442" s="9"/>
      <c r="G442" s="21">
        <f t="shared" si="123"/>
        <v>0</v>
      </c>
      <c r="U442" s="19"/>
    </row>
    <row r="443" spans="5:21" s="13" customFormat="1" x14ac:dyDescent="0.3">
      <c r="E443" s="19"/>
      <c r="F443" s="9"/>
      <c r="G443" s="21">
        <f t="shared" si="123"/>
        <v>0</v>
      </c>
      <c r="U443" s="19"/>
    </row>
    <row r="444" spans="5:21" s="13" customFormat="1" x14ac:dyDescent="0.3">
      <c r="E444" s="19"/>
      <c r="F444" s="9"/>
      <c r="G444" s="21">
        <f t="shared" si="123"/>
        <v>0</v>
      </c>
      <c r="U444" s="19"/>
    </row>
    <row r="445" spans="5:21" s="13" customFormat="1" x14ac:dyDescent="0.3">
      <c r="E445" s="19"/>
      <c r="F445" s="9"/>
      <c r="G445" s="21">
        <f t="shared" si="123"/>
        <v>0</v>
      </c>
      <c r="U445" s="19"/>
    </row>
    <row r="446" spans="5:21" s="13" customFormat="1" x14ac:dyDescent="0.3">
      <c r="E446" s="19"/>
      <c r="F446" s="9"/>
      <c r="G446" s="21">
        <f t="shared" si="123"/>
        <v>0</v>
      </c>
      <c r="U446" s="19"/>
    </row>
    <row r="447" spans="5:21" s="13" customFormat="1" x14ac:dyDescent="0.3">
      <c r="E447" s="19"/>
      <c r="F447" s="9"/>
      <c r="G447" s="21">
        <f t="shared" si="123"/>
        <v>0</v>
      </c>
      <c r="U447" s="19"/>
    </row>
    <row r="448" spans="5:21" s="13" customFormat="1" x14ac:dyDescent="0.3">
      <c r="E448" s="19"/>
      <c r="F448" s="9"/>
      <c r="G448" s="21">
        <f t="shared" si="123"/>
        <v>0</v>
      </c>
      <c r="U448" s="19"/>
    </row>
    <row r="449" spans="5:21" s="13" customFormat="1" x14ac:dyDescent="0.3">
      <c r="E449" s="19"/>
      <c r="F449" s="9"/>
      <c r="G449" s="21">
        <f t="shared" si="123"/>
        <v>0</v>
      </c>
      <c r="U449" s="19"/>
    </row>
    <row r="450" spans="5:21" s="13" customFormat="1" x14ac:dyDescent="0.3">
      <c r="E450" s="19"/>
      <c r="F450" s="9"/>
      <c r="G450" s="21">
        <f t="shared" si="123"/>
        <v>0</v>
      </c>
      <c r="U450" s="19"/>
    </row>
    <row r="451" spans="5:21" s="13" customFormat="1" x14ac:dyDescent="0.3">
      <c r="E451" s="19"/>
      <c r="F451" s="9"/>
      <c r="G451" s="21">
        <f t="shared" ref="G451:G514" si="124">F451/(2*PI())</f>
        <v>0</v>
      </c>
      <c r="U451" s="19"/>
    </row>
    <row r="452" spans="5:21" s="13" customFormat="1" x14ac:dyDescent="0.3">
      <c r="E452" s="19"/>
      <c r="F452" s="9"/>
      <c r="G452" s="21">
        <f t="shared" si="124"/>
        <v>0</v>
      </c>
      <c r="U452" s="19"/>
    </row>
    <row r="453" spans="5:21" s="13" customFormat="1" x14ac:dyDescent="0.3">
      <c r="E453" s="19"/>
      <c r="F453" s="9"/>
      <c r="G453" s="21">
        <f t="shared" si="124"/>
        <v>0</v>
      </c>
      <c r="U453" s="19"/>
    </row>
    <row r="454" spans="5:21" s="13" customFormat="1" x14ac:dyDescent="0.3">
      <c r="E454" s="19"/>
      <c r="F454" s="9"/>
      <c r="G454" s="21">
        <f t="shared" si="124"/>
        <v>0</v>
      </c>
      <c r="U454" s="19"/>
    </row>
    <row r="455" spans="5:21" s="13" customFormat="1" x14ac:dyDescent="0.3">
      <c r="E455" s="19"/>
      <c r="F455" s="9"/>
      <c r="G455" s="21">
        <f t="shared" si="124"/>
        <v>0</v>
      </c>
      <c r="U455" s="19"/>
    </row>
    <row r="456" spans="5:21" s="13" customFormat="1" x14ac:dyDescent="0.3">
      <c r="E456" s="19"/>
      <c r="F456" s="9"/>
      <c r="G456" s="21">
        <f t="shared" si="124"/>
        <v>0</v>
      </c>
      <c r="U456" s="19"/>
    </row>
    <row r="457" spans="5:21" s="13" customFormat="1" x14ac:dyDescent="0.3">
      <c r="E457" s="19"/>
      <c r="F457" s="9"/>
      <c r="G457" s="21">
        <f t="shared" si="124"/>
        <v>0</v>
      </c>
      <c r="U457" s="19"/>
    </row>
    <row r="458" spans="5:21" s="13" customFormat="1" x14ac:dyDescent="0.3">
      <c r="E458" s="19"/>
      <c r="F458" s="9"/>
      <c r="G458" s="21">
        <f t="shared" si="124"/>
        <v>0</v>
      </c>
      <c r="U458" s="19"/>
    </row>
    <row r="459" spans="5:21" s="13" customFormat="1" x14ac:dyDescent="0.3">
      <c r="E459" s="19"/>
      <c r="F459" s="9"/>
      <c r="G459" s="21">
        <f t="shared" si="124"/>
        <v>0</v>
      </c>
      <c r="U459" s="19"/>
    </row>
    <row r="460" spans="5:21" s="13" customFormat="1" x14ac:dyDescent="0.3">
      <c r="E460" s="19"/>
      <c r="F460" s="9"/>
      <c r="G460" s="21">
        <f t="shared" si="124"/>
        <v>0</v>
      </c>
      <c r="U460" s="19"/>
    </row>
    <row r="461" spans="5:21" s="13" customFormat="1" x14ac:dyDescent="0.3">
      <c r="E461" s="19"/>
      <c r="F461" s="9"/>
      <c r="G461" s="21">
        <f t="shared" si="124"/>
        <v>0</v>
      </c>
      <c r="U461" s="19"/>
    </row>
    <row r="462" spans="5:21" s="13" customFormat="1" x14ac:dyDescent="0.3">
      <c r="E462" s="19"/>
      <c r="F462" s="9"/>
      <c r="G462" s="21">
        <f t="shared" si="124"/>
        <v>0</v>
      </c>
      <c r="U462" s="19"/>
    </row>
    <row r="463" spans="5:21" s="13" customFormat="1" x14ac:dyDescent="0.3">
      <c r="E463" s="19"/>
      <c r="F463" s="9"/>
      <c r="G463" s="21">
        <f t="shared" si="124"/>
        <v>0</v>
      </c>
      <c r="U463" s="19"/>
    </row>
    <row r="464" spans="5:21" s="13" customFormat="1" x14ac:dyDescent="0.3">
      <c r="E464" s="19"/>
      <c r="F464" s="9"/>
      <c r="G464" s="21">
        <f t="shared" si="124"/>
        <v>0</v>
      </c>
      <c r="U464" s="19"/>
    </row>
    <row r="465" spans="5:21" s="13" customFormat="1" x14ac:dyDescent="0.3">
      <c r="E465" s="19"/>
      <c r="F465" s="9"/>
      <c r="G465" s="21">
        <f t="shared" si="124"/>
        <v>0</v>
      </c>
      <c r="U465" s="19"/>
    </row>
    <row r="466" spans="5:21" s="13" customFormat="1" x14ac:dyDescent="0.3">
      <c r="E466" s="19"/>
      <c r="F466" s="9"/>
      <c r="G466" s="21">
        <f t="shared" si="124"/>
        <v>0</v>
      </c>
      <c r="U466" s="19"/>
    </row>
    <row r="467" spans="5:21" s="13" customFormat="1" x14ac:dyDescent="0.3">
      <c r="E467" s="19"/>
      <c r="F467" s="9"/>
      <c r="G467" s="21">
        <f t="shared" si="124"/>
        <v>0</v>
      </c>
      <c r="U467" s="19"/>
    </row>
    <row r="468" spans="5:21" s="13" customFormat="1" x14ac:dyDescent="0.3">
      <c r="E468" s="19"/>
      <c r="F468" s="9"/>
      <c r="G468" s="21">
        <f t="shared" si="124"/>
        <v>0</v>
      </c>
      <c r="U468" s="19"/>
    </row>
    <row r="469" spans="5:21" s="13" customFormat="1" x14ac:dyDescent="0.3">
      <c r="E469" s="19"/>
      <c r="F469" s="9"/>
      <c r="G469" s="21">
        <f t="shared" si="124"/>
        <v>0</v>
      </c>
      <c r="U469" s="19"/>
    </row>
    <row r="470" spans="5:21" s="13" customFormat="1" x14ac:dyDescent="0.3">
      <c r="E470" s="19"/>
      <c r="F470" s="9"/>
      <c r="G470" s="21">
        <f t="shared" si="124"/>
        <v>0</v>
      </c>
      <c r="U470" s="19"/>
    </row>
    <row r="471" spans="5:21" s="13" customFormat="1" x14ac:dyDescent="0.3">
      <c r="E471" s="19"/>
      <c r="F471" s="9"/>
      <c r="G471" s="21">
        <f t="shared" si="124"/>
        <v>0</v>
      </c>
      <c r="U471" s="19"/>
    </row>
    <row r="472" spans="5:21" s="13" customFormat="1" x14ac:dyDescent="0.3">
      <c r="E472" s="19"/>
      <c r="F472" s="9"/>
      <c r="G472" s="21">
        <f t="shared" si="124"/>
        <v>0</v>
      </c>
      <c r="U472" s="19"/>
    </row>
    <row r="473" spans="5:21" s="13" customFormat="1" x14ac:dyDescent="0.3">
      <c r="E473" s="19"/>
      <c r="F473" s="9"/>
      <c r="G473" s="21">
        <f t="shared" si="124"/>
        <v>0</v>
      </c>
      <c r="U473" s="19"/>
    </row>
    <row r="474" spans="5:21" s="13" customFormat="1" x14ac:dyDescent="0.3">
      <c r="E474" s="19"/>
      <c r="F474" s="9"/>
      <c r="G474" s="21">
        <f t="shared" si="124"/>
        <v>0</v>
      </c>
      <c r="U474" s="19"/>
    </row>
    <row r="475" spans="5:21" s="13" customFormat="1" x14ac:dyDescent="0.3">
      <c r="E475" s="19"/>
      <c r="F475" s="9"/>
      <c r="G475" s="21">
        <f t="shared" si="124"/>
        <v>0</v>
      </c>
      <c r="U475" s="19"/>
    </row>
    <row r="476" spans="5:21" s="13" customFormat="1" x14ac:dyDescent="0.3">
      <c r="E476" s="19"/>
      <c r="F476" s="9"/>
      <c r="G476" s="21">
        <f t="shared" si="124"/>
        <v>0</v>
      </c>
      <c r="U476" s="19"/>
    </row>
    <row r="477" spans="5:21" s="13" customFormat="1" x14ac:dyDescent="0.3">
      <c r="E477" s="19"/>
      <c r="F477" s="9"/>
      <c r="G477" s="21">
        <f t="shared" si="124"/>
        <v>0</v>
      </c>
      <c r="U477" s="19"/>
    </row>
    <row r="478" spans="5:21" s="13" customFormat="1" x14ac:dyDescent="0.3">
      <c r="E478" s="19"/>
      <c r="F478" s="9"/>
      <c r="G478" s="21">
        <f t="shared" si="124"/>
        <v>0</v>
      </c>
      <c r="U478" s="19"/>
    </row>
    <row r="479" spans="5:21" s="13" customFormat="1" x14ac:dyDescent="0.3">
      <c r="E479" s="19"/>
      <c r="F479" s="9"/>
      <c r="G479" s="21">
        <f t="shared" si="124"/>
        <v>0</v>
      </c>
      <c r="U479" s="19"/>
    </row>
    <row r="480" spans="5:21" s="13" customFormat="1" x14ac:dyDescent="0.3">
      <c r="E480" s="19"/>
      <c r="F480" s="9"/>
      <c r="G480" s="21">
        <f t="shared" si="124"/>
        <v>0</v>
      </c>
      <c r="U480" s="19"/>
    </row>
    <row r="481" spans="5:21" s="13" customFormat="1" x14ac:dyDescent="0.3">
      <c r="E481" s="19"/>
      <c r="F481" s="9"/>
      <c r="G481" s="21">
        <f t="shared" si="124"/>
        <v>0</v>
      </c>
      <c r="U481" s="19"/>
    </row>
    <row r="482" spans="5:21" s="13" customFormat="1" x14ac:dyDescent="0.3">
      <c r="E482" s="19"/>
      <c r="F482" s="9"/>
      <c r="G482" s="21">
        <f t="shared" si="124"/>
        <v>0</v>
      </c>
      <c r="U482" s="19"/>
    </row>
    <row r="483" spans="5:21" s="13" customFormat="1" x14ac:dyDescent="0.3">
      <c r="E483" s="19"/>
      <c r="F483" s="9"/>
      <c r="G483" s="21">
        <f t="shared" si="124"/>
        <v>0</v>
      </c>
      <c r="U483" s="19"/>
    </row>
    <row r="484" spans="5:21" s="13" customFormat="1" x14ac:dyDescent="0.3">
      <c r="E484" s="19"/>
      <c r="F484" s="9"/>
      <c r="G484" s="21">
        <f t="shared" si="124"/>
        <v>0</v>
      </c>
      <c r="U484" s="19"/>
    </row>
    <row r="485" spans="5:21" s="13" customFormat="1" x14ac:dyDescent="0.3">
      <c r="E485" s="19"/>
      <c r="F485" s="9"/>
      <c r="G485" s="21">
        <f t="shared" si="124"/>
        <v>0</v>
      </c>
      <c r="U485" s="19"/>
    </row>
    <row r="486" spans="5:21" s="13" customFormat="1" x14ac:dyDescent="0.3">
      <c r="E486" s="19"/>
      <c r="F486" s="9"/>
      <c r="G486" s="21">
        <f t="shared" si="124"/>
        <v>0</v>
      </c>
      <c r="U486" s="19"/>
    </row>
    <row r="487" spans="5:21" s="13" customFormat="1" x14ac:dyDescent="0.3">
      <c r="E487" s="19"/>
      <c r="F487" s="9"/>
      <c r="G487" s="21">
        <f t="shared" si="124"/>
        <v>0</v>
      </c>
      <c r="U487" s="19"/>
    </row>
    <row r="488" spans="5:21" s="13" customFormat="1" x14ac:dyDescent="0.3">
      <c r="E488" s="19"/>
      <c r="F488" s="9"/>
      <c r="G488" s="21">
        <f t="shared" si="124"/>
        <v>0</v>
      </c>
      <c r="U488" s="19"/>
    </row>
    <row r="489" spans="5:21" s="13" customFormat="1" x14ac:dyDescent="0.3">
      <c r="E489" s="19"/>
      <c r="F489" s="9"/>
      <c r="G489" s="21">
        <f t="shared" si="124"/>
        <v>0</v>
      </c>
      <c r="U489" s="19"/>
    </row>
    <row r="490" spans="5:21" s="13" customFormat="1" x14ac:dyDescent="0.3">
      <c r="E490" s="19"/>
      <c r="F490" s="9"/>
      <c r="G490" s="21">
        <f t="shared" si="124"/>
        <v>0</v>
      </c>
      <c r="U490" s="19"/>
    </row>
    <row r="491" spans="5:21" s="13" customFormat="1" x14ac:dyDescent="0.3">
      <c r="E491" s="19"/>
      <c r="F491" s="9"/>
      <c r="G491" s="21">
        <f t="shared" si="124"/>
        <v>0</v>
      </c>
      <c r="U491" s="19"/>
    </row>
    <row r="492" spans="5:21" s="13" customFormat="1" x14ac:dyDescent="0.3">
      <c r="E492" s="19"/>
      <c r="F492" s="9"/>
      <c r="G492" s="21">
        <f t="shared" si="124"/>
        <v>0</v>
      </c>
      <c r="U492" s="19"/>
    </row>
    <row r="493" spans="5:21" s="13" customFormat="1" x14ac:dyDescent="0.3">
      <c r="E493" s="19"/>
      <c r="F493" s="9"/>
      <c r="G493" s="21">
        <f t="shared" si="124"/>
        <v>0</v>
      </c>
      <c r="U493" s="19"/>
    </row>
    <row r="494" spans="5:21" s="13" customFormat="1" x14ac:dyDescent="0.3">
      <c r="E494" s="19"/>
      <c r="F494" s="9"/>
      <c r="G494" s="21">
        <f t="shared" si="124"/>
        <v>0</v>
      </c>
      <c r="U494" s="19"/>
    </row>
    <row r="495" spans="5:21" s="13" customFormat="1" x14ac:dyDescent="0.3">
      <c r="E495" s="19"/>
      <c r="F495" s="9"/>
      <c r="G495" s="21">
        <f t="shared" si="124"/>
        <v>0</v>
      </c>
      <c r="U495" s="19"/>
    </row>
    <row r="496" spans="5:21" s="13" customFormat="1" x14ac:dyDescent="0.3">
      <c r="E496" s="19"/>
      <c r="F496" s="9"/>
      <c r="G496" s="21">
        <f t="shared" si="124"/>
        <v>0</v>
      </c>
      <c r="U496" s="19"/>
    </row>
    <row r="497" spans="5:21" s="13" customFormat="1" x14ac:dyDescent="0.3">
      <c r="E497" s="19"/>
      <c r="F497" s="9"/>
      <c r="G497" s="21">
        <f t="shared" si="124"/>
        <v>0</v>
      </c>
      <c r="U497" s="19"/>
    </row>
    <row r="498" spans="5:21" s="13" customFormat="1" x14ac:dyDescent="0.3">
      <c r="E498" s="19"/>
      <c r="F498" s="9"/>
      <c r="G498" s="21">
        <f t="shared" si="124"/>
        <v>0</v>
      </c>
      <c r="U498" s="19"/>
    </row>
    <row r="499" spans="5:21" s="13" customFormat="1" x14ac:dyDescent="0.3">
      <c r="E499" s="19"/>
      <c r="F499" s="9"/>
      <c r="G499" s="21">
        <f t="shared" si="124"/>
        <v>0</v>
      </c>
      <c r="U499" s="19"/>
    </row>
    <row r="500" spans="5:21" s="13" customFormat="1" x14ac:dyDescent="0.3">
      <c r="E500" s="19"/>
      <c r="F500" s="9"/>
      <c r="G500" s="21">
        <f t="shared" si="124"/>
        <v>0</v>
      </c>
      <c r="U500" s="19"/>
    </row>
    <row r="501" spans="5:21" s="13" customFormat="1" x14ac:dyDescent="0.3">
      <c r="E501" s="19"/>
      <c r="F501" s="9"/>
      <c r="G501" s="21">
        <f t="shared" si="124"/>
        <v>0</v>
      </c>
      <c r="U501" s="19"/>
    </row>
    <row r="502" spans="5:21" s="13" customFormat="1" x14ac:dyDescent="0.3">
      <c r="E502" s="19"/>
      <c r="F502" s="9"/>
      <c r="G502" s="21">
        <f t="shared" si="124"/>
        <v>0</v>
      </c>
      <c r="U502" s="19"/>
    </row>
    <row r="503" spans="5:21" s="13" customFormat="1" x14ac:dyDescent="0.3">
      <c r="E503" s="19"/>
      <c r="F503" s="9"/>
      <c r="G503" s="21">
        <f t="shared" si="124"/>
        <v>0</v>
      </c>
      <c r="U503" s="19"/>
    </row>
    <row r="504" spans="5:21" s="13" customFormat="1" x14ac:dyDescent="0.3">
      <c r="E504" s="19"/>
      <c r="F504" s="9"/>
      <c r="G504" s="21">
        <f t="shared" si="124"/>
        <v>0</v>
      </c>
      <c r="U504" s="19"/>
    </row>
    <row r="505" spans="5:21" s="13" customFormat="1" x14ac:dyDescent="0.3">
      <c r="E505" s="19"/>
      <c r="F505" s="9"/>
      <c r="G505" s="21">
        <f t="shared" si="124"/>
        <v>0</v>
      </c>
      <c r="U505" s="19"/>
    </row>
    <row r="506" spans="5:21" s="13" customFormat="1" x14ac:dyDescent="0.3">
      <c r="E506" s="19"/>
      <c r="F506" s="9"/>
      <c r="G506" s="21">
        <f t="shared" si="124"/>
        <v>0</v>
      </c>
      <c r="U506" s="19"/>
    </row>
    <row r="507" spans="5:21" s="13" customFormat="1" x14ac:dyDescent="0.3">
      <c r="E507" s="19"/>
      <c r="F507" s="9"/>
      <c r="G507" s="21">
        <f t="shared" si="124"/>
        <v>0</v>
      </c>
      <c r="U507" s="19"/>
    </row>
    <row r="508" spans="5:21" s="13" customFormat="1" x14ac:dyDescent="0.3">
      <c r="E508" s="19"/>
      <c r="F508" s="9"/>
      <c r="G508" s="21">
        <f t="shared" si="124"/>
        <v>0</v>
      </c>
      <c r="U508" s="19"/>
    </row>
    <row r="509" spans="5:21" s="13" customFormat="1" x14ac:dyDescent="0.3">
      <c r="E509" s="19"/>
      <c r="F509" s="9"/>
      <c r="G509" s="21">
        <f t="shared" si="124"/>
        <v>0</v>
      </c>
      <c r="U509" s="19"/>
    </row>
    <row r="510" spans="5:21" s="13" customFormat="1" x14ac:dyDescent="0.3">
      <c r="E510" s="19"/>
      <c r="F510" s="9"/>
      <c r="G510" s="21">
        <f t="shared" si="124"/>
        <v>0</v>
      </c>
      <c r="U510" s="19"/>
    </row>
    <row r="511" spans="5:21" s="13" customFormat="1" x14ac:dyDescent="0.3">
      <c r="E511" s="19"/>
      <c r="F511" s="9"/>
      <c r="G511" s="21">
        <f t="shared" si="124"/>
        <v>0</v>
      </c>
      <c r="U511" s="19"/>
    </row>
    <row r="512" spans="5:21" s="13" customFormat="1" x14ac:dyDescent="0.3">
      <c r="E512" s="19"/>
      <c r="F512" s="9"/>
      <c r="G512" s="21">
        <f t="shared" si="124"/>
        <v>0</v>
      </c>
      <c r="U512" s="19"/>
    </row>
    <row r="513" spans="5:21" s="13" customFormat="1" x14ac:dyDescent="0.3">
      <c r="E513" s="19"/>
      <c r="F513" s="9"/>
      <c r="G513" s="21">
        <f t="shared" si="124"/>
        <v>0</v>
      </c>
      <c r="U513" s="19"/>
    </row>
    <row r="514" spans="5:21" s="13" customFormat="1" x14ac:dyDescent="0.3">
      <c r="E514" s="19"/>
      <c r="F514" s="9"/>
      <c r="G514" s="21">
        <f t="shared" si="124"/>
        <v>0</v>
      </c>
      <c r="U514" s="19"/>
    </row>
    <row r="515" spans="5:21" s="13" customFormat="1" x14ac:dyDescent="0.3">
      <c r="E515" s="19"/>
      <c r="F515" s="9"/>
      <c r="G515" s="21">
        <f t="shared" ref="G515:G578" si="125">F515/(2*PI())</f>
        <v>0</v>
      </c>
      <c r="U515" s="19"/>
    </row>
    <row r="516" spans="5:21" s="13" customFormat="1" x14ac:dyDescent="0.3">
      <c r="E516" s="19"/>
      <c r="F516" s="9"/>
      <c r="G516" s="21">
        <f t="shared" si="125"/>
        <v>0</v>
      </c>
      <c r="U516" s="19"/>
    </row>
    <row r="517" spans="5:21" s="13" customFormat="1" x14ac:dyDescent="0.3">
      <c r="E517" s="19"/>
      <c r="F517" s="9"/>
      <c r="G517" s="21">
        <f t="shared" si="125"/>
        <v>0</v>
      </c>
      <c r="U517" s="19"/>
    </row>
    <row r="518" spans="5:21" s="13" customFormat="1" x14ac:dyDescent="0.3">
      <c r="E518" s="19"/>
      <c r="F518" s="9"/>
      <c r="G518" s="21">
        <f t="shared" si="125"/>
        <v>0</v>
      </c>
      <c r="U518" s="19"/>
    </row>
    <row r="519" spans="5:21" s="13" customFormat="1" x14ac:dyDescent="0.3">
      <c r="E519" s="19"/>
      <c r="F519" s="9"/>
      <c r="G519" s="21">
        <f t="shared" si="125"/>
        <v>0</v>
      </c>
      <c r="U519" s="19"/>
    </row>
    <row r="520" spans="5:21" s="13" customFormat="1" x14ac:dyDescent="0.3">
      <c r="E520" s="19"/>
      <c r="F520" s="9"/>
      <c r="G520" s="21">
        <f t="shared" si="125"/>
        <v>0</v>
      </c>
      <c r="U520" s="19"/>
    </row>
    <row r="521" spans="5:21" s="13" customFormat="1" x14ac:dyDescent="0.3">
      <c r="E521" s="19"/>
      <c r="F521" s="9"/>
      <c r="G521" s="21">
        <f t="shared" si="125"/>
        <v>0</v>
      </c>
      <c r="U521" s="19"/>
    </row>
    <row r="522" spans="5:21" s="13" customFormat="1" x14ac:dyDescent="0.3">
      <c r="E522" s="19"/>
      <c r="F522" s="9"/>
      <c r="G522" s="21">
        <f t="shared" si="125"/>
        <v>0</v>
      </c>
      <c r="U522" s="19"/>
    </row>
    <row r="523" spans="5:21" s="13" customFormat="1" x14ac:dyDescent="0.3">
      <c r="E523" s="19"/>
      <c r="F523" s="9"/>
      <c r="G523" s="21">
        <f t="shared" si="125"/>
        <v>0</v>
      </c>
      <c r="U523" s="19"/>
    </row>
    <row r="524" spans="5:21" s="13" customFormat="1" x14ac:dyDescent="0.3">
      <c r="E524" s="19"/>
      <c r="F524" s="9"/>
      <c r="G524" s="21">
        <f t="shared" si="125"/>
        <v>0</v>
      </c>
      <c r="U524" s="19"/>
    </row>
    <row r="525" spans="5:21" s="13" customFormat="1" x14ac:dyDescent="0.3">
      <c r="E525" s="19"/>
      <c r="F525" s="9"/>
      <c r="G525" s="21">
        <f t="shared" si="125"/>
        <v>0</v>
      </c>
      <c r="U525" s="19"/>
    </row>
    <row r="526" spans="5:21" s="13" customFormat="1" x14ac:dyDescent="0.3">
      <c r="E526" s="19"/>
      <c r="F526" s="9"/>
      <c r="G526" s="21">
        <f t="shared" si="125"/>
        <v>0</v>
      </c>
      <c r="U526" s="19"/>
    </row>
    <row r="527" spans="5:21" s="13" customFormat="1" x14ac:dyDescent="0.3">
      <c r="E527" s="19"/>
      <c r="F527" s="9"/>
      <c r="G527" s="21">
        <f t="shared" si="125"/>
        <v>0</v>
      </c>
      <c r="U527" s="19"/>
    </row>
    <row r="528" spans="5:21" s="13" customFormat="1" x14ac:dyDescent="0.3">
      <c r="E528" s="19"/>
      <c r="F528" s="9"/>
      <c r="G528" s="21">
        <f t="shared" si="125"/>
        <v>0</v>
      </c>
      <c r="U528" s="19"/>
    </row>
    <row r="529" spans="5:21" s="13" customFormat="1" x14ac:dyDescent="0.3">
      <c r="E529" s="19"/>
      <c r="F529" s="9"/>
      <c r="G529" s="21">
        <f t="shared" si="125"/>
        <v>0</v>
      </c>
      <c r="U529" s="19"/>
    </row>
    <row r="530" spans="5:21" s="13" customFormat="1" x14ac:dyDescent="0.3">
      <c r="E530" s="19"/>
      <c r="F530" s="9"/>
      <c r="G530" s="21">
        <f t="shared" si="125"/>
        <v>0</v>
      </c>
      <c r="U530" s="19"/>
    </row>
    <row r="531" spans="5:21" s="13" customFormat="1" x14ac:dyDescent="0.3">
      <c r="E531" s="19"/>
      <c r="F531" s="9"/>
      <c r="G531" s="21">
        <f t="shared" si="125"/>
        <v>0</v>
      </c>
      <c r="U531" s="19"/>
    </row>
    <row r="532" spans="5:21" s="13" customFormat="1" x14ac:dyDescent="0.3">
      <c r="E532" s="19"/>
      <c r="F532" s="9"/>
      <c r="G532" s="21">
        <f t="shared" si="125"/>
        <v>0</v>
      </c>
      <c r="U532" s="19"/>
    </row>
    <row r="533" spans="5:21" s="13" customFormat="1" x14ac:dyDescent="0.3">
      <c r="E533" s="19"/>
      <c r="F533" s="9"/>
      <c r="G533" s="21">
        <f t="shared" si="125"/>
        <v>0</v>
      </c>
      <c r="U533" s="19"/>
    </row>
    <row r="534" spans="5:21" s="13" customFormat="1" x14ac:dyDescent="0.3">
      <c r="E534" s="19"/>
      <c r="F534" s="9"/>
      <c r="G534" s="21">
        <f t="shared" si="125"/>
        <v>0</v>
      </c>
      <c r="U534" s="19"/>
    </row>
    <row r="535" spans="5:21" s="13" customFormat="1" x14ac:dyDescent="0.3">
      <c r="E535" s="19"/>
      <c r="F535" s="9"/>
      <c r="G535" s="21">
        <f t="shared" si="125"/>
        <v>0</v>
      </c>
      <c r="U535" s="19"/>
    </row>
    <row r="536" spans="5:21" s="13" customFormat="1" x14ac:dyDescent="0.3">
      <c r="E536" s="19"/>
      <c r="F536" s="9"/>
      <c r="G536" s="21">
        <f t="shared" si="125"/>
        <v>0</v>
      </c>
      <c r="U536" s="19"/>
    </row>
    <row r="537" spans="5:21" s="13" customFormat="1" x14ac:dyDescent="0.3">
      <c r="E537" s="19"/>
      <c r="F537" s="9"/>
      <c r="G537" s="21">
        <f t="shared" si="125"/>
        <v>0</v>
      </c>
      <c r="U537" s="19"/>
    </row>
    <row r="538" spans="5:21" s="13" customFormat="1" x14ac:dyDescent="0.3">
      <c r="E538" s="19"/>
      <c r="F538" s="9"/>
      <c r="G538" s="21">
        <f t="shared" si="125"/>
        <v>0</v>
      </c>
      <c r="U538" s="19"/>
    </row>
    <row r="539" spans="5:21" s="13" customFormat="1" x14ac:dyDescent="0.3">
      <c r="E539" s="19"/>
      <c r="F539" s="9"/>
      <c r="G539" s="21">
        <f t="shared" si="125"/>
        <v>0</v>
      </c>
      <c r="U539" s="19"/>
    </row>
    <row r="540" spans="5:21" s="13" customFormat="1" x14ac:dyDescent="0.3">
      <c r="E540" s="19"/>
      <c r="F540" s="9"/>
      <c r="G540" s="21">
        <f t="shared" si="125"/>
        <v>0</v>
      </c>
      <c r="U540" s="19"/>
    </row>
    <row r="541" spans="5:21" s="13" customFormat="1" x14ac:dyDescent="0.3">
      <c r="E541" s="19"/>
      <c r="F541" s="9"/>
      <c r="G541" s="21">
        <f t="shared" si="125"/>
        <v>0</v>
      </c>
      <c r="U541" s="19"/>
    </row>
    <row r="542" spans="5:21" s="13" customFormat="1" x14ac:dyDescent="0.3">
      <c r="E542" s="19"/>
      <c r="F542" s="9"/>
      <c r="G542" s="21">
        <f t="shared" si="125"/>
        <v>0</v>
      </c>
      <c r="U542" s="19"/>
    </row>
    <row r="543" spans="5:21" s="13" customFormat="1" x14ac:dyDescent="0.3">
      <c r="E543" s="19"/>
      <c r="F543" s="9"/>
      <c r="G543" s="21">
        <f t="shared" si="125"/>
        <v>0</v>
      </c>
      <c r="U543" s="19"/>
    </row>
    <row r="544" spans="5:21" s="13" customFormat="1" x14ac:dyDescent="0.3">
      <c r="E544" s="19"/>
      <c r="F544" s="9"/>
      <c r="G544" s="21">
        <f t="shared" si="125"/>
        <v>0</v>
      </c>
      <c r="U544" s="19"/>
    </row>
    <row r="545" spans="5:21" s="13" customFormat="1" x14ac:dyDescent="0.3">
      <c r="E545" s="19"/>
      <c r="F545" s="9"/>
      <c r="G545" s="21">
        <f t="shared" si="125"/>
        <v>0</v>
      </c>
      <c r="U545" s="19"/>
    </row>
    <row r="546" spans="5:21" s="13" customFormat="1" x14ac:dyDescent="0.3">
      <c r="E546" s="19"/>
      <c r="F546" s="9"/>
      <c r="G546" s="21">
        <f t="shared" si="125"/>
        <v>0</v>
      </c>
      <c r="U546" s="19"/>
    </row>
    <row r="547" spans="5:21" s="13" customFormat="1" x14ac:dyDescent="0.3">
      <c r="E547" s="19"/>
      <c r="F547" s="9"/>
      <c r="G547" s="21">
        <f t="shared" si="125"/>
        <v>0</v>
      </c>
      <c r="U547" s="19"/>
    </row>
    <row r="548" spans="5:21" s="13" customFormat="1" x14ac:dyDescent="0.3">
      <c r="E548" s="19"/>
      <c r="F548" s="9"/>
      <c r="G548" s="21">
        <f t="shared" si="125"/>
        <v>0</v>
      </c>
      <c r="U548" s="19"/>
    </row>
    <row r="549" spans="5:21" s="13" customFormat="1" x14ac:dyDescent="0.3">
      <c r="E549" s="19"/>
      <c r="F549" s="9"/>
      <c r="G549" s="21">
        <f t="shared" si="125"/>
        <v>0</v>
      </c>
      <c r="U549" s="19"/>
    </row>
    <row r="550" spans="5:21" s="13" customFormat="1" x14ac:dyDescent="0.3">
      <c r="E550" s="19"/>
      <c r="F550" s="9"/>
      <c r="G550" s="21">
        <f t="shared" si="125"/>
        <v>0</v>
      </c>
      <c r="U550" s="19"/>
    </row>
    <row r="551" spans="5:21" s="13" customFormat="1" x14ac:dyDescent="0.3">
      <c r="E551" s="19"/>
      <c r="F551" s="9"/>
      <c r="G551" s="21">
        <f t="shared" si="125"/>
        <v>0</v>
      </c>
      <c r="U551" s="19"/>
    </row>
    <row r="552" spans="5:21" s="13" customFormat="1" x14ac:dyDescent="0.3">
      <c r="E552" s="19"/>
      <c r="F552" s="9"/>
      <c r="G552" s="21">
        <f t="shared" si="125"/>
        <v>0</v>
      </c>
      <c r="U552" s="19"/>
    </row>
    <row r="553" spans="5:21" s="13" customFormat="1" x14ac:dyDescent="0.3">
      <c r="E553" s="19"/>
      <c r="F553" s="9"/>
      <c r="G553" s="21">
        <f t="shared" si="125"/>
        <v>0</v>
      </c>
      <c r="U553" s="19"/>
    </row>
    <row r="554" spans="5:21" s="13" customFormat="1" x14ac:dyDescent="0.3">
      <c r="E554" s="19"/>
      <c r="F554" s="9"/>
      <c r="G554" s="21">
        <f t="shared" si="125"/>
        <v>0</v>
      </c>
      <c r="U554" s="19"/>
    </row>
    <row r="555" spans="5:21" s="13" customFormat="1" x14ac:dyDescent="0.3">
      <c r="E555" s="19"/>
      <c r="F555" s="9"/>
      <c r="G555" s="21">
        <f t="shared" si="125"/>
        <v>0</v>
      </c>
      <c r="U555" s="19"/>
    </row>
    <row r="556" spans="5:21" s="13" customFormat="1" x14ac:dyDescent="0.3">
      <c r="E556" s="19"/>
      <c r="F556" s="9"/>
      <c r="G556" s="21">
        <f t="shared" si="125"/>
        <v>0</v>
      </c>
      <c r="U556" s="19"/>
    </row>
    <row r="557" spans="5:21" s="13" customFormat="1" x14ac:dyDescent="0.3">
      <c r="E557" s="19"/>
      <c r="F557" s="9"/>
      <c r="G557" s="21">
        <f t="shared" si="125"/>
        <v>0</v>
      </c>
      <c r="U557" s="19"/>
    </row>
    <row r="558" spans="5:21" s="13" customFormat="1" x14ac:dyDescent="0.3">
      <c r="E558" s="19"/>
      <c r="F558" s="9"/>
      <c r="G558" s="21">
        <f t="shared" si="125"/>
        <v>0</v>
      </c>
      <c r="U558" s="19"/>
    </row>
    <row r="559" spans="5:21" s="13" customFormat="1" x14ac:dyDescent="0.3">
      <c r="E559" s="19"/>
      <c r="F559" s="9"/>
      <c r="G559" s="21">
        <f t="shared" si="125"/>
        <v>0</v>
      </c>
      <c r="U559" s="19"/>
    </row>
    <row r="560" spans="5:21" s="13" customFormat="1" x14ac:dyDescent="0.3">
      <c r="E560" s="19"/>
      <c r="F560" s="9"/>
      <c r="G560" s="21">
        <f t="shared" si="125"/>
        <v>0</v>
      </c>
      <c r="U560" s="19"/>
    </row>
    <row r="561" spans="5:21" s="13" customFormat="1" x14ac:dyDescent="0.3">
      <c r="E561" s="19"/>
      <c r="F561" s="9"/>
      <c r="G561" s="21">
        <f t="shared" si="125"/>
        <v>0</v>
      </c>
      <c r="U561" s="19"/>
    </row>
    <row r="562" spans="5:21" s="13" customFormat="1" x14ac:dyDescent="0.3">
      <c r="E562" s="19"/>
      <c r="F562" s="9"/>
      <c r="G562" s="21">
        <f t="shared" si="125"/>
        <v>0</v>
      </c>
      <c r="U562" s="19"/>
    </row>
    <row r="563" spans="5:21" s="13" customFormat="1" x14ac:dyDescent="0.3">
      <c r="E563" s="19"/>
      <c r="F563" s="9"/>
      <c r="G563" s="21">
        <f t="shared" si="125"/>
        <v>0</v>
      </c>
      <c r="U563" s="19"/>
    </row>
    <row r="564" spans="5:21" s="13" customFormat="1" x14ac:dyDescent="0.3">
      <c r="E564" s="19"/>
      <c r="F564" s="9"/>
      <c r="G564" s="21">
        <f t="shared" si="125"/>
        <v>0</v>
      </c>
      <c r="U564" s="19"/>
    </row>
    <row r="565" spans="5:21" s="13" customFormat="1" x14ac:dyDescent="0.3">
      <c r="E565" s="19"/>
      <c r="F565" s="9"/>
      <c r="G565" s="21">
        <f t="shared" si="125"/>
        <v>0</v>
      </c>
      <c r="U565" s="19"/>
    </row>
    <row r="566" spans="5:21" s="13" customFormat="1" x14ac:dyDescent="0.3">
      <c r="E566" s="19"/>
      <c r="F566" s="9"/>
      <c r="G566" s="21">
        <f t="shared" si="125"/>
        <v>0</v>
      </c>
      <c r="U566" s="19"/>
    </row>
    <row r="567" spans="5:21" s="13" customFormat="1" x14ac:dyDescent="0.3">
      <c r="E567" s="19"/>
      <c r="F567" s="9"/>
      <c r="G567" s="21">
        <f t="shared" si="125"/>
        <v>0</v>
      </c>
      <c r="U567" s="19"/>
    </row>
    <row r="568" spans="5:21" s="13" customFormat="1" x14ac:dyDescent="0.3">
      <c r="E568" s="19"/>
      <c r="F568" s="9"/>
      <c r="G568" s="21">
        <f t="shared" si="125"/>
        <v>0</v>
      </c>
      <c r="U568" s="19"/>
    </row>
    <row r="569" spans="5:21" s="13" customFormat="1" x14ac:dyDescent="0.3">
      <c r="E569" s="19"/>
      <c r="F569" s="9"/>
      <c r="G569" s="21">
        <f t="shared" si="125"/>
        <v>0</v>
      </c>
      <c r="U569" s="19"/>
    </row>
    <row r="570" spans="5:21" s="13" customFormat="1" x14ac:dyDescent="0.3">
      <c r="E570" s="19"/>
      <c r="F570" s="9"/>
      <c r="G570" s="21">
        <f t="shared" si="125"/>
        <v>0</v>
      </c>
      <c r="U570" s="19"/>
    </row>
    <row r="571" spans="5:21" s="13" customFormat="1" x14ac:dyDescent="0.3">
      <c r="E571" s="19"/>
      <c r="F571" s="9"/>
      <c r="G571" s="21">
        <f t="shared" si="125"/>
        <v>0</v>
      </c>
      <c r="U571" s="19"/>
    </row>
    <row r="572" spans="5:21" s="13" customFormat="1" x14ac:dyDescent="0.3">
      <c r="E572" s="19"/>
      <c r="F572" s="9"/>
      <c r="G572" s="21">
        <f t="shared" si="125"/>
        <v>0</v>
      </c>
      <c r="U572" s="19"/>
    </row>
    <row r="573" spans="5:21" s="13" customFormat="1" x14ac:dyDescent="0.3">
      <c r="E573" s="19"/>
      <c r="F573" s="9"/>
      <c r="G573" s="21">
        <f t="shared" si="125"/>
        <v>0</v>
      </c>
      <c r="U573" s="19"/>
    </row>
    <row r="574" spans="5:21" s="13" customFormat="1" x14ac:dyDescent="0.3">
      <c r="E574" s="19"/>
      <c r="F574" s="9"/>
      <c r="G574" s="21">
        <f t="shared" si="125"/>
        <v>0</v>
      </c>
      <c r="U574" s="19"/>
    </row>
    <row r="575" spans="5:21" s="13" customFormat="1" x14ac:dyDescent="0.3">
      <c r="E575" s="19"/>
      <c r="F575" s="9"/>
      <c r="G575" s="21">
        <f t="shared" si="125"/>
        <v>0</v>
      </c>
      <c r="U575" s="19"/>
    </row>
    <row r="576" spans="5:21" s="13" customFormat="1" x14ac:dyDescent="0.3">
      <c r="E576" s="19"/>
      <c r="F576" s="9"/>
      <c r="G576" s="21">
        <f t="shared" si="125"/>
        <v>0</v>
      </c>
      <c r="U576" s="19"/>
    </row>
    <row r="577" spans="5:21" s="13" customFormat="1" x14ac:dyDescent="0.3">
      <c r="E577" s="19"/>
      <c r="F577" s="9"/>
      <c r="G577" s="21">
        <f t="shared" si="125"/>
        <v>0</v>
      </c>
      <c r="U577" s="19"/>
    </row>
    <row r="578" spans="5:21" s="13" customFormat="1" x14ac:dyDescent="0.3">
      <c r="E578" s="19"/>
      <c r="F578" s="9"/>
      <c r="G578" s="21">
        <f t="shared" si="125"/>
        <v>0</v>
      </c>
      <c r="U578" s="19"/>
    </row>
    <row r="579" spans="5:21" s="13" customFormat="1" x14ac:dyDescent="0.3">
      <c r="E579" s="19"/>
      <c r="F579" s="9"/>
      <c r="G579" s="21">
        <f t="shared" ref="G579:G601" si="126">F579/(2*PI())</f>
        <v>0</v>
      </c>
      <c r="U579" s="19"/>
    </row>
    <row r="580" spans="5:21" s="13" customFormat="1" x14ac:dyDescent="0.3">
      <c r="E580" s="19"/>
      <c r="F580" s="9"/>
      <c r="G580" s="21">
        <f t="shared" si="126"/>
        <v>0</v>
      </c>
      <c r="U580" s="19"/>
    </row>
    <row r="581" spans="5:21" s="13" customFormat="1" x14ac:dyDescent="0.3">
      <c r="E581" s="19"/>
      <c r="F581" s="9"/>
      <c r="G581" s="21">
        <f t="shared" si="126"/>
        <v>0</v>
      </c>
      <c r="U581" s="19"/>
    </row>
    <row r="582" spans="5:21" s="13" customFormat="1" x14ac:dyDescent="0.3">
      <c r="E582" s="19"/>
      <c r="F582" s="9"/>
      <c r="G582" s="21">
        <f t="shared" si="126"/>
        <v>0</v>
      </c>
      <c r="U582" s="19"/>
    </row>
    <row r="583" spans="5:21" s="13" customFormat="1" x14ac:dyDescent="0.3">
      <c r="E583" s="19"/>
      <c r="F583" s="9"/>
      <c r="G583" s="21">
        <f t="shared" si="126"/>
        <v>0</v>
      </c>
      <c r="U583" s="19"/>
    </row>
    <row r="584" spans="5:21" s="13" customFormat="1" x14ac:dyDescent="0.3">
      <c r="E584" s="19"/>
      <c r="F584" s="9"/>
      <c r="G584" s="21">
        <f t="shared" si="126"/>
        <v>0</v>
      </c>
      <c r="U584" s="19"/>
    </row>
    <row r="585" spans="5:21" s="13" customFormat="1" x14ac:dyDescent="0.3">
      <c r="E585" s="19"/>
      <c r="F585" s="9"/>
      <c r="G585" s="21">
        <f t="shared" si="126"/>
        <v>0</v>
      </c>
      <c r="U585" s="19"/>
    </row>
    <row r="586" spans="5:21" s="13" customFormat="1" x14ac:dyDescent="0.3">
      <c r="E586" s="19"/>
      <c r="F586" s="9"/>
      <c r="G586" s="21">
        <f t="shared" si="126"/>
        <v>0</v>
      </c>
      <c r="U586" s="19"/>
    </row>
    <row r="587" spans="5:21" s="13" customFormat="1" x14ac:dyDescent="0.3">
      <c r="E587" s="19"/>
      <c r="F587" s="9"/>
      <c r="G587" s="21">
        <f t="shared" si="126"/>
        <v>0</v>
      </c>
      <c r="U587" s="19"/>
    </row>
    <row r="588" spans="5:21" s="13" customFormat="1" x14ac:dyDescent="0.3">
      <c r="E588" s="19"/>
      <c r="F588" s="9"/>
      <c r="G588" s="21">
        <f t="shared" si="126"/>
        <v>0</v>
      </c>
      <c r="U588" s="19"/>
    </row>
    <row r="589" spans="5:21" s="13" customFormat="1" x14ac:dyDescent="0.3">
      <c r="E589" s="19"/>
      <c r="F589" s="9"/>
      <c r="G589" s="21">
        <f t="shared" si="126"/>
        <v>0</v>
      </c>
      <c r="U589" s="19"/>
    </row>
    <row r="590" spans="5:21" s="13" customFormat="1" x14ac:dyDescent="0.3">
      <c r="E590" s="19"/>
      <c r="F590" s="9"/>
      <c r="G590" s="21">
        <f t="shared" si="126"/>
        <v>0</v>
      </c>
      <c r="U590" s="19"/>
    </row>
    <row r="591" spans="5:21" s="13" customFormat="1" x14ac:dyDescent="0.3">
      <c r="E591" s="19"/>
      <c r="F591" s="9"/>
      <c r="G591" s="21">
        <f t="shared" si="126"/>
        <v>0</v>
      </c>
      <c r="U591" s="19"/>
    </row>
    <row r="592" spans="5:21" s="13" customFormat="1" x14ac:dyDescent="0.3">
      <c r="E592" s="19"/>
      <c r="F592" s="9"/>
      <c r="G592" s="21">
        <f t="shared" si="126"/>
        <v>0</v>
      </c>
      <c r="U592" s="19"/>
    </row>
    <row r="593" spans="3:50" s="13" customFormat="1" x14ac:dyDescent="0.3">
      <c r="E593" s="19"/>
      <c r="F593" s="9"/>
      <c r="G593" s="21">
        <f t="shared" si="126"/>
        <v>0</v>
      </c>
      <c r="U593" s="19"/>
    </row>
    <row r="594" spans="3:50" s="7" customFormat="1" x14ac:dyDescent="0.3">
      <c r="C594" s="9"/>
      <c r="E594" s="18"/>
      <c r="F594" s="9"/>
      <c r="G594" s="21">
        <f t="shared" si="126"/>
        <v>0</v>
      </c>
      <c r="T594" s="9"/>
      <c r="U594" s="18"/>
      <c r="Z594" s="9"/>
      <c r="AA594" s="9"/>
      <c r="AB594" s="9"/>
      <c r="AC594" s="12"/>
      <c r="AD594" s="12"/>
      <c r="AE594" s="12"/>
      <c r="AF594" s="12"/>
      <c r="AO594" s="9"/>
      <c r="AP594" s="9"/>
      <c r="AQ594" s="9"/>
      <c r="AR594" s="9"/>
      <c r="AS594" s="12"/>
      <c r="AT594" s="9"/>
      <c r="AU594" s="9"/>
      <c r="AV594" s="9"/>
      <c r="AW594" s="13"/>
      <c r="AX594" s="13"/>
    </row>
    <row r="595" spans="3:50" s="7" customFormat="1" x14ac:dyDescent="0.3">
      <c r="C595" s="9"/>
      <c r="E595" s="18"/>
      <c r="F595" s="9"/>
      <c r="G595" s="21">
        <f t="shared" si="126"/>
        <v>0</v>
      </c>
      <c r="T595" s="9"/>
      <c r="U595" s="18"/>
      <c r="Z595" s="9"/>
      <c r="AA595" s="9"/>
      <c r="AB595" s="9"/>
      <c r="AC595" s="12"/>
      <c r="AD595" s="12"/>
      <c r="AE595" s="12"/>
      <c r="AF595" s="12"/>
      <c r="AO595" s="9"/>
      <c r="AP595" s="9"/>
      <c r="AQ595" s="9"/>
      <c r="AR595" s="9"/>
      <c r="AS595" s="12"/>
      <c r="AT595" s="9"/>
      <c r="AU595" s="9"/>
      <c r="AV595" s="9"/>
      <c r="AW595" s="13"/>
      <c r="AX595" s="13"/>
    </row>
    <row r="596" spans="3:50" s="7" customFormat="1" x14ac:dyDescent="0.3">
      <c r="C596" s="9"/>
      <c r="E596" s="18"/>
      <c r="F596" s="9"/>
      <c r="G596" s="21">
        <f t="shared" si="126"/>
        <v>0</v>
      </c>
      <c r="T596" s="9"/>
      <c r="U596" s="18"/>
      <c r="Z596" s="9"/>
      <c r="AA596" s="9"/>
      <c r="AB596" s="9"/>
      <c r="AC596" s="12"/>
      <c r="AD596" s="12"/>
      <c r="AE596" s="12"/>
      <c r="AF596" s="12"/>
      <c r="AO596" s="9"/>
      <c r="AP596" s="9"/>
      <c r="AQ596" s="9"/>
      <c r="AR596" s="9"/>
      <c r="AS596" s="12"/>
      <c r="AT596" s="9"/>
      <c r="AU596" s="9"/>
      <c r="AV596" s="9"/>
      <c r="AW596" s="13"/>
      <c r="AX596" s="13"/>
    </row>
    <row r="597" spans="3:50" s="7" customFormat="1" x14ac:dyDescent="0.3">
      <c r="C597" s="9"/>
      <c r="E597" s="18"/>
      <c r="F597" s="9"/>
      <c r="G597" s="21">
        <f t="shared" si="126"/>
        <v>0</v>
      </c>
      <c r="T597" s="9"/>
      <c r="U597" s="18"/>
      <c r="Z597" s="9"/>
      <c r="AA597" s="9"/>
      <c r="AB597" s="9"/>
      <c r="AC597" s="12"/>
      <c r="AD597" s="12"/>
      <c r="AE597" s="12"/>
      <c r="AF597" s="12"/>
      <c r="AO597" s="9"/>
      <c r="AP597" s="9"/>
      <c r="AQ597" s="9"/>
      <c r="AR597" s="9"/>
      <c r="AS597" s="12"/>
      <c r="AT597" s="9"/>
      <c r="AU597" s="9"/>
      <c r="AV597" s="9"/>
      <c r="AW597" s="13"/>
      <c r="AX597" s="13"/>
    </row>
    <row r="598" spans="3:50" s="7" customFormat="1" x14ac:dyDescent="0.3">
      <c r="C598" s="9"/>
      <c r="E598" s="18"/>
      <c r="F598" s="9"/>
      <c r="G598" s="21">
        <f t="shared" si="126"/>
        <v>0</v>
      </c>
      <c r="T598" s="9"/>
      <c r="U598" s="18"/>
      <c r="Z598" s="9"/>
      <c r="AA598" s="9"/>
      <c r="AB598" s="9"/>
      <c r="AC598" s="12"/>
      <c r="AD598" s="12"/>
      <c r="AE598" s="12"/>
      <c r="AF598" s="12"/>
      <c r="AO598" s="9"/>
      <c r="AP598" s="9"/>
      <c r="AQ598" s="9"/>
      <c r="AR598" s="9"/>
      <c r="AS598" s="12"/>
      <c r="AT598" s="9"/>
      <c r="AU598" s="9"/>
      <c r="AV598" s="9"/>
      <c r="AW598" s="13"/>
      <c r="AX598" s="13"/>
    </row>
    <row r="599" spans="3:50" s="7" customFormat="1" x14ac:dyDescent="0.3">
      <c r="C599" s="9"/>
      <c r="E599" s="18"/>
      <c r="F599" s="9"/>
      <c r="G599" s="21">
        <f t="shared" si="126"/>
        <v>0</v>
      </c>
      <c r="T599" s="9"/>
      <c r="U599" s="18"/>
      <c r="Z599" s="9"/>
      <c r="AA599" s="9"/>
      <c r="AB599" s="9"/>
      <c r="AC599" s="12"/>
      <c r="AD599" s="12"/>
      <c r="AE599" s="12"/>
      <c r="AF599" s="12"/>
      <c r="AO599" s="9"/>
      <c r="AP599" s="9"/>
      <c r="AQ599" s="9"/>
      <c r="AR599" s="9"/>
      <c r="AS599" s="12"/>
      <c r="AT599" s="9"/>
      <c r="AU599" s="9"/>
      <c r="AV599" s="9"/>
      <c r="AW599" s="13"/>
      <c r="AX599" s="13"/>
    </row>
    <row r="600" spans="3:50" s="7" customFormat="1" x14ac:dyDescent="0.3">
      <c r="C600" s="9"/>
      <c r="E600" s="18"/>
      <c r="F600" s="9"/>
      <c r="G600" s="21">
        <f t="shared" si="126"/>
        <v>0</v>
      </c>
      <c r="T600" s="9"/>
      <c r="U600" s="18"/>
      <c r="Z600" s="9"/>
      <c r="AA600" s="9"/>
      <c r="AB600" s="9"/>
      <c r="AC600" s="12"/>
      <c r="AD600" s="12"/>
      <c r="AE600" s="12"/>
      <c r="AF600" s="12"/>
      <c r="AO600" s="9"/>
      <c r="AP600" s="9"/>
      <c r="AQ600" s="9"/>
      <c r="AR600" s="9"/>
      <c r="AS600" s="12"/>
      <c r="AT600" s="9"/>
      <c r="AU600" s="9"/>
      <c r="AV600" s="9"/>
      <c r="AW600" s="13"/>
      <c r="AX600" s="13"/>
    </row>
    <row r="601" spans="3:50" s="7" customFormat="1" x14ac:dyDescent="0.3">
      <c r="C601" s="9"/>
      <c r="E601" s="18"/>
      <c r="F601" s="9"/>
      <c r="G601" s="21">
        <f t="shared" si="126"/>
        <v>0</v>
      </c>
      <c r="T601" s="9"/>
      <c r="U601" s="18"/>
      <c r="Z601" s="9"/>
      <c r="AA601" s="9"/>
      <c r="AB601" s="9"/>
      <c r="AC601" s="12"/>
      <c r="AD601" s="12"/>
      <c r="AE601" s="12"/>
      <c r="AF601" s="12"/>
      <c r="AO601" s="9"/>
      <c r="AP601" s="9"/>
      <c r="AQ601" s="9"/>
      <c r="AR601" s="9"/>
      <c r="AS601" s="12"/>
      <c r="AT601" s="9"/>
      <c r="AU601" s="9"/>
      <c r="AV601" s="9"/>
      <c r="AW601" s="13"/>
      <c r="AX601" s="13"/>
    </row>
  </sheetData>
  <autoFilter ref="X1:X60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Master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91917</dc:creator>
  <cp:lastModifiedBy>Bikash Pattanayak</cp:lastModifiedBy>
  <cp:lastPrinted>2022-06-13T14:33:38Z</cp:lastPrinted>
  <dcterms:created xsi:type="dcterms:W3CDTF">2015-06-05T18:17:20Z</dcterms:created>
  <dcterms:modified xsi:type="dcterms:W3CDTF">2026-08-17T08:20:54Z</dcterms:modified>
</cp:coreProperties>
</file>